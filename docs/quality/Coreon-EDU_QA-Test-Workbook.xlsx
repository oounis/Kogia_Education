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Test Log" sheetId="3" state="visible" r:id="rId3"/>
    <sheet xmlns:r="http://schemas.openxmlformats.org/officeDocument/2006/relationships" name="Defect Log" sheetId="4" state="visible" r:id="rId4"/>
    <sheet xmlns:r="http://schemas.openxmlformats.org/officeDocument/2006/relationships" name="Change Requests" sheetId="5" state="visible" r:id="rId5"/>
    <sheet xmlns:r="http://schemas.openxmlformats.org/officeDocument/2006/relationships" name="Modules" sheetId="6" state="visible" r:id="rId6"/>
    <sheet xmlns:r="http://schemas.openxmlformats.org/officeDocument/2006/relationships" name="Roles &amp; Logins" sheetId="7" state="visible" r:id="rId7"/>
    <sheet xmlns:r="http://schemas.openxmlformats.org/officeDocument/2006/relationships" name="Test Cycles" sheetId="8" state="visible" r:id="rId8"/>
    <sheet xmlns:r="http://schemas.openxmlformats.org/officeDocument/2006/relationships" name="Raw Notes (original)" sheetId="9" state="visible" r:id="rId9"/>
    <sheet xmlns:r="http://schemas.openxmlformats.org/officeDocument/2006/relationships" name="Lists" sheetId="10" state="visible" r:id="rId10"/>
  </sheets>
  <definedNames>
    <definedName name="_xlnm._FilterDatabase" localSheetId="2" hidden="1">'Test Log'!$A$2:$AA$2</definedName>
    <definedName name="_xlnm._FilterDatabase" localSheetId="3" hidden="1">'Defect Log'!$A$2:$Z$2</definedName>
    <definedName name="_xlnm._FilterDatabase" localSheetId="4" hidden="1">'Change Requests'!$A$2:$T$2</definedName>
    <definedName name="_xlnm._FilterDatabase" localSheetId="5" hidden="1">'Modules'!$A$2:$N$2</definedName>
    <definedName name="_xlnm._FilterDatabase" localSheetId="6" hidden="1">'Roles &amp; Logins'!$A$2:$F$2</definedName>
    <definedName name="_xlnm._FilterDatabase" localSheetId="7" hidden="1">'Test Cycles'!$A$2:$Q$2</definedName>
    <definedName name="_xlnm._FilterDatabase" localSheetId="8" hidden="1">'Raw Notes (original)'!$A$2:$C$2</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FFFFFF"/>
      <sz val="16"/>
    </font>
    <font>
      <b val="1"/>
      <sz val="10"/>
    </font>
    <font>
      <sz val="10"/>
    </font>
    <font>
      <b val="1"/>
      <color rgb="00FFFFFF"/>
      <sz val="11"/>
    </font>
    <font>
      <b val="1"/>
      <color rgb="00FFFFFF"/>
      <sz val="10"/>
    </font>
    <font>
      <b val="1"/>
      <color rgb="00FFFFFF"/>
      <sz val="12"/>
    </font>
    <font>
      <i val="1"/>
      <color rgb="007A8194"/>
      <sz val="10"/>
    </font>
    <font>
      <b val="1"/>
      <sz val="11"/>
    </font>
    <font>
      <color rgb="007A8194"/>
      <sz val="9"/>
    </font>
    <font>
      <b val="1"/>
      <color rgb="000B6B2F"/>
      <sz val="10"/>
    </font>
    <font>
      <b val="1"/>
      <color rgb="008A5A00"/>
      <sz val="10"/>
    </font>
    <font>
      <b val="1"/>
      <color rgb="009C0006"/>
      <sz val="10"/>
    </font>
  </fonts>
  <fills count="8">
    <fill>
      <patternFill/>
    </fill>
    <fill>
      <patternFill patternType="gray125"/>
    </fill>
    <fill>
      <patternFill patternType="solid">
        <fgColor rgb="001F2A44"/>
      </patternFill>
    </fill>
    <fill>
      <patternFill patternType="solid">
        <fgColor rgb="007539E4"/>
      </patternFill>
    </fill>
    <fill>
      <patternFill patternType="solid">
        <fgColor rgb="00F1F3F8"/>
      </patternFill>
    </fill>
    <fill>
      <patternFill patternType="solid">
        <fgColor rgb="00C6EFCE"/>
      </patternFill>
    </fill>
    <fill>
      <patternFill patternType="solid">
        <fgColor rgb="00FFE699"/>
      </patternFill>
    </fill>
    <fill>
      <patternFill patternType="solid">
        <fgColor rgb="00FFC7CE"/>
      </patternFill>
    </fill>
  </fills>
  <borders count="2">
    <border>
      <left/>
      <right/>
      <top/>
      <bottom/>
      <diagonal/>
    </border>
    <border>
      <left style="thin">
        <color rgb="00D5DAE5"/>
      </left>
      <right style="thin">
        <color rgb="00D5DAE5"/>
      </right>
      <top style="thin">
        <color rgb="00D5DAE5"/>
      </top>
      <bottom style="thin">
        <color rgb="00D5DAE5"/>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indent="1"/>
    </xf>
    <xf numFmtId="0" fontId="3" fillId="0" borderId="0" applyAlignment="1" pivotButton="0" quotePrefix="0" xfId="0">
      <alignment vertical="top" wrapText="1"/>
    </xf>
    <xf numFmtId="0" fontId="4" fillId="3" borderId="0" applyAlignment="1" pivotButton="0" quotePrefix="0" xfId="0">
      <alignment vertical="center" indent="1"/>
    </xf>
    <xf numFmtId="0" fontId="2" fillId="4" borderId="0" applyAlignment="1" pivotButton="0" quotePrefix="0" xfId="0">
      <alignment vertical="top" indent="1"/>
    </xf>
    <xf numFmtId="0" fontId="7" fillId="0" borderId="0" pivotButton="0" quotePrefix="0" xfId="0"/>
    <xf numFmtId="0" fontId="2" fillId="0" borderId="0" pivotButton="0" quotePrefix="0" xfId="0"/>
    <xf numFmtId="1" fontId="8" fillId="4" borderId="1" applyAlignment="1" pivotButton="0" quotePrefix="0" xfId="0">
      <alignment horizontal="center"/>
    </xf>
    <xf numFmtId="0" fontId="9" fillId="0" borderId="0" pivotButton="0" quotePrefix="0" xfId="0"/>
    <xf numFmtId="164" fontId="8" fillId="4" borderId="1" applyAlignment="1" pivotButton="0" quotePrefix="0" xfId="0">
      <alignment horizontal="center"/>
    </xf>
    <xf numFmtId="0" fontId="2" fillId="0" borderId="1" applyAlignment="1" pivotButton="0" quotePrefix="0" xfId="0">
      <alignment horizontal="center"/>
    </xf>
    <xf numFmtId="0" fontId="5" fillId="2" borderId="0" applyAlignment="1" pivotButton="0" quotePrefix="0" xfId="0">
      <alignment vertical="center" indent="1"/>
    </xf>
    <xf numFmtId="0" fontId="6" fillId="2" borderId="0" applyAlignment="1" pivotButton="0" quotePrefix="0" xfId="0">
      <alignment vertical="center" indent="1"/>
    </xf>
    <xf numFmtId="0" fontId="5" fillId="3" borderId="1" applyAlignment="1" pivotButton="0" quotePrefix="0" xfId="0">
      <alignment horizontal="center"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9" fontId="3" fillId="0" borderId="1" applyAlignment="1" pivotButton="0" quotePrefix="0" xfId="0">
      <alignment vertical="top" wrapText="1"/>
    </xf>
    <xf numFmtId="0" fontId="5" fillId="2" borderId="0" applyAlignment="1" pivotButton="0" quotePrefix="0" xfId="0">
      <alignment horizontal="center"/>
    </xf>
    <xf numFmtId="0" fontId="3" fillId="0" borderId="0" pivotButton="0" quotePrefix="0" xfId="0"/>
    <xf numFmtId="0" fontId="10" fillId="5" borderId="1" applyAlignment="1" pivotButton="0" quotePrefix="0" xfId="0">
      <alignment vertical="top" wrapText="1"/>
    </xf>
    <xf numFmtId="0" fontId="11" fillId="6" borderId="1" applyAlignment="1" pivotButton="0" quotePrefix="0" xfId="0">
      <alignment vertical="top" wrapText="1"/>
    </xf>
    <xf numFmtId="0" fontId="12" fillId="7" borderId="1" applyAlignment="1" pivotButton="0" quotePrefix="0" xfId="0">
      <alignment vertical="top" wrapText="1"/>
    </xf>
  </cellXfs>
  <cellStyles count="1">
    <cellStyle name="Normal" xfId="0" builtinId="0" hidden="0"/>
  </cellStyles>
  <dxfs count="4">
    <dxf>
      <font>
        <b val="1"/>
        <color rgb="000B6B2F"/>
      </font>
      <fill>
        <patternFill patternType="solid">
          <bgColor rgb="00C6EFCE"/>
        </patternFill>
      </fill>
    </dxf>
    <dxf>
      <font>
        <b val="1"/>
        <color rgb="009C0006"/>
      </font>
      <fill>
        <patternFill patternType="solid">
          <bgColor rgb="00FFC7CE"/>
        </patternFill>
      </fill>
    </dxf>
    <dxf>
      <font>
        <b val="1"/>
        <color rgb="008A5A00"/>
      </font>
      <fill>
        <patternFill patternType="solid">
          <bgColor rgb="00FFE699"/>
        </patternFill>
      </fill>
    </dxf>
    <dxf>
      <font>
        <b val="1"/>
        <color rgb="0050596B"/>
      </font>
      <fill>
        <patternFill patternType="solid">
          <bgColor rgb="00E4E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B56"/>
  <sheetViews>
    <sheetView showGridLines="0" workbookViewId="0">
      <selection activeCell="A1" sqref="A1"/>
    </sheetView>
  </sheetViews>
  <sheetFormatPr baseColWidth="8" defaultRowHeight="15"/>
  <cols>
    <col width="30" customWidth="1" min="1" max="1"/>
    <col width="108" customWidth="1" min="2" max="2"/>
  </cols>
  <sheetData>
    <row r="1" ht="34" customHeight="1">
      <c r="A1" s="1" t="inlineStr">
        <is>
          <t>COREON EDU — MANUAL TEST EXECUTION WORKBOOK</t>
        </is>
      </c>
    </row>
    <row r="2" ht="16" customHeight="1">
      <c r="A2" s="2" t="inlineStr">
        <is>
          <t>Standard</t>
        </is>
      </c>
      <c r="B2" s="3" t="inlineStr">
        <is>
          <t>Test Case Specification + Defect Register, per ISO/IEC/IEEE 29119-3 (formerly IEEE 829).</t>
        </is>
      </c>
    </row>
    <row r="3" ht="16" customHeight="1">
      <c r="A3" s="2" t="inlineStr">
        <is>
          <t>Phase</t>
        </is>
      </c>
      <c r="B3" s="3" t="inlineStr">
        <is>
          <t>Test Design &amp; Test Execution, inside the System Testing stage of the STLC.</t>
        </is>
      </c>
    </row>
    <row r="4" ht="16" customHeight="1">
      <c r="A4" s="2" t="inlineStr">
        <is>
          <t>Product</t>
        </is>
      </c>
      <c r="B4" s="3" t="inlineStr">
        <is>
          <t>Coreon EDU — Kogia Group</t>
        </is>
      </c>
    </row>
    <row r="5" ht="16" customHeight="1">
      <c r="A5" s="2" t="inlineStr">
        <is>
          <t>Owner</t>
        </is>
      </c>
      <c r="B5" s="3" t="inlineStr">
        <is>
          <t>Othman Ounis</t>
        </is>
      </c>
    </row>
    <row r="7" ht="24" customHeight="1">
      <c r="A7" s="4" t="inlineStr">
        <is>
          <t>THE SHEETS</t>
        </is>
      </c>
    </row>
    <row r="8" ht="16" customHeight="1">
      <c r="A8" s="5" t="inlineStr">
        <is>
          <t>Dashboard</t>
        </is>
      </c>
      <c r="B8" s="3" t="inlineStr">
        <is>
          <t>Read-only. Auto-calculates pass rate, coverage and open defects. Do not type here.</t>
        </is>
      </c>
    </row>
    <row r="9" ht="16" customHeight="1">
      <c r="A9" s="5" t="inlineStr">
        <is>
          <t>Test Log</t>
        </is>
      </c>
      <c r="B9" s="3" t="inlineStr">
        <is>
          <t>THE MAIN SHEET. One row per element tested. This is where you spend your time.</t>
        </is>
      </c>
    </row>
    <row r="10" ht="30" customHeight="1">
      <c r="A10" s="5" t="inlineStr">
        <is>
          <t>Defect Log</t>
        </is>
      </c>
      <c r="B10" s="3" t="inlineStr">
        <is>
          <t>One row per BUG — something that is broken in what already exists. Every FAIL in Test Log points here.</t>
        </is>
      </c>
    </row>
    <row r="11" ht="30" customHeight="1">
      <c r="A11" s="5" t="inlineStr">
        <is>
          <t>Change Requests</t>
        </is>
      </c>
      <c r="B11" s="3" t="inlineStr">
        <is>
          <t>One row per thing to ADD or CHANGE. Not bugs. Enhancements, new features, design, content, epics, research.</t>
        </is>
      </c>
    </row>
    <row r="12" ht="16" customHeight="1">
      <c r="A12" s="5" t="inlineStr">
        <is>
          <t>Raw Notes (original)</t>
        </is>
      </c>
      <c r="B12" s="3" t="inlineStr">
        <is>
          <t>Your notes, kept word for word. Nothing is ever deleted from here — it is the audit trail.</t>
        </is>
      </c>
    </row>
    <row r="13" ht="16" customHeight="1">
      <c r="A13" s="5" t="inlineStr">
        <is>
          <t>Modules</t>
        </is>
      </c>
      <c r="B13" s="3" t="inlineStr">
        <is>
          <t>Inventory of all 46 screens. Tick them off as you cover them. Gives you the coverage %.</t>
        </is>
      </c>
    </row>
    <row r="14" ht="16" customHeight="1">
      <c r="A14" s="5" t="inlineStr">
        <is>
          <t>Roles &amp; Logins</t>
        </is>
      </c>
      <c r="B14" s="3" t="inlineStr">
        <is>
          <t>The 7 demo accounts. Use these, never invent new ones — results must be reproducible.</t>
        </is>
      </c>
    </row>
    <row r="15" ht="16" customHeight="1">
      <c r="A15" s="5" t="inlineStr">
        <is>
          <t>Test Cycles</t>
        </is>
      </c>
      <c r="B15" s="3" t="inlineStr">
        <is>
          <t>One row per round of testing (per release). Records the Go / No-Go decision.</t>
        </is>
      </c>
    </row>
    <row r="16" ht="16" customHeight="1">
      <c r="A16" s="5" t="inlineStr">
        <is>
          <t>Lists</t>
        </is>
      </c>
      <c r="B16" s="3" t="inlineStr">
        <is>
          <t>Source data for the dropdowns. Edit only if you want to change the allowed values.</t>
        </is>
      </c>
    </row>
    <row r="18" ht="24" customHeight="1">
      <c r="A18" s="4" t="inlineStr">
        <is>
          <t>HOW TO USE IT — THE LOOP</t>
        </is>
      </c>
    </row>
    <row r="19" ht="16" customHeight="1">
      <c r="A19" s="2" t="inlineStr">
        <is>
          <t>1. Pick a module</t>
        </is>
      </c>
      <c r="B19" s="3" t="inlineStr">
        <is>
          <t>Take one row from the Modules sheet. Test it completely before moving on. Do not jump around.</t>
        </is>
      </c>
    </row>
    <row r="20" ht="30" customHeight="1">
      <c r="A20" s="2" t="inlineStr">
        <is>
          <t>2. Pick a role</t>
        </is>
      </c>
      <c r="B20" s="3" t="inlineStr">
        <is>
          <t>Test the module as ONE role at a time. The same button can behave differently for a parent and for Direction.</t>
        </is>
      </c>
    </row>
    <row r="21" ht="30" customHeight="1">
      <c r="A21" s="2" t="inlineStr">
        <is>
          <t>3. Click everything</t>
        </is>
      </c>
      <c r="B21" s="3" t="inlineStr">
        <is>
          <t>Every button, link, tab, dropdown, toggle, icon, table header, modal close. One row in Test Log per element.</t>
        </is>
      </c>
    </row>
    <row r="22" ht="30" customHeight="1">
      <c r="A22" s="2" t="inlineStr">
        <is>
          <t>4. Write Expected BEFORE Actual</t>
        </is>
      </c>
      <c r="B22" s="3" t="inlineStr">
        <is>
          <t>Decide what SHOULD happen before you click. If you click first, you will accept whatever you see as normal. This is the single most important discipline in this file.</t>
        </is>
      </c>
    </row>
    <row r="23" ht="30" customHeight="1">
      <c r="A23" s="2" t="inlineStr">
        <is>
          <t>5. Mark the status</t>
        </is>
      </c>
      <c r="B23" s="3" t="inlineStr">
        <is>
          <t>PASS / FAIL / BLOCKED / NOT RUN / N-A. Blocked means you could not test it because something else is broken — it is not a Fail.</t>
        </is>
      </c>
    </row>
    <row r="24" ht="16" customHeight="1">
      <c r="A24" s="2" t="inlineStr">
        <is>
          <t>6. Log the defect</t>
        </is>
      </c>
      <c r="B24" s="3" t="inlineStr">
        <is>
          <t>Every FAIL gets a row in Defect Log and its ID written back into the Test Log row.</t>
        </is>
      </c>
    </row>
    <row r="25" ht="16" customHeight="1">
      <c r="A25" s="2" t="inlineStr">
        <is>
          <t>7. Retest after the fix</t>
        </is>
      </c>
      <c r="B25" s="3" t="inlineStr">
        <is>
          <t>Set Retest to PASS or FAIL. Never close a defect without retesting it yourself.</t>
        </is>
      </c>
    </row>
    <row r="27" ht="24" customHeight="1">
      <c r="A27" s="4" t="inlineStr">
        <is>
          <t>DEFECT vs CHANGE REQUEST — THE MOST IMPORTANT DISTINCTION IN THIS FILE</t>
        </is>
      </c>
    </row>
    <row r="28" ht="30" customHeight="1">
      <c r="A28" s="2" t="inlineStr">
        <is>
          <t>A DEFECT is</t>
        </is>
      </c>
      <c r="B28" s="3" t="inlineStr">
        <is>
          <t>The product does not do what it was supposed to do. Something is broken. It goes in the Defect Log.</t>
        </is>
      </c>
    </row>
    <row r="29" ht="30" customHeight="1">
      <c r="A29" s="2" t="inlineStr">
        <is>
          <t>A CHANGE REQUEST is</t>
        </is>
      </c>
      <c r="B29" s="3" t="inlineStr">
        <is>
          <t>The product works as designed, but the design itself should change. Nothing is broken. It goes in Change Requests.</t>
        </is>
      </c>
    </row>
    <row r="30" ht="30" customHeight="1">
      <c r="A30" s="2" t="inlineStr">
        <is>
          <t>Why keep them apart</t>
        </is>
      </c>
      <c r="B30" s="3" t="inlineStr">
        <is>
          <t>They are decided by different people, cost different money, and answer different questions. A defect asks 'when is it fixed'. A change request asks 'do we even want it, and is it worth the price'. Mixing them into one list is the fastest way to lose control of a product.</t>
        </is>
      </c>
    </row>
    <row r="31" ht="30" customHeight="1">
      <c r="A31" s="2" t="inlineStr">
        <is>
          <t>The test</t>
        </is>
      </c>
      <c r="B31" s="3" t="inlineStr">
        <is>
          <t>Ask: was it ever meant to work this way? If yes and it does not -&gt; defect. If it works as intended and you simply want something else -&gt; change request.</t>
        </is>
      </c>
    </row>
    <row r="32" ht="16" customHeight="1">
      <c r="A32" s="2" t="inlineStr">
        <is>
          <t>Example - defect</t>
        </is>
      </c>
      <c r="B32" s="3" t="inlineStr">
        <is>
          <t>The login page does not fit the browser window. It was never meant to overflow. DEF-001.</t>
        </is>
      </c>
    </row>
    <row r="33" ht="30" customHeight="1">
      <c r="A33" s="2" t="inlineStr">
        <is>
          <t>Example - change request</t>
        </is>
      </c>
      <c r="B33" s="3" t="inlineStr">
        <is>
          <t>Make the weather widget smaller. It works exactly as built; you want a different design. CR-015.</t>
        </is>
      </c>
    </row>
    <row r="35" ht="24" customHeight="1">
      <c r="A35" s="4" t="inlineStr">
        <is>
          <t>SEVERITY vs PRIORITY — THEY ARE NOT THE SAME</t>
        </is>
      </c>
    </row>
    <row r="36" ht="16" customHeight="1">
      <c r="A36" s="2" t="inlineStr">
        <is>
          <t>Severity</t>
        </is>
      </c>
      <c r="B36" s="3" t="inlineStr">
        <is>
          <t>How much damage the bug does. Set by the tester. Critical / Major / Minor / Trivial.</t>
        </is>
      </c>
    </row>
    <row r="37" ht="16" customHeight="1">
      <c r="A37" s="2" t="inlineStr">
        <is>
          <t>Priority</t>
        </is>
      </c>
      <c r="B37" s="3" t="inlineStr">
        <is>
          <t>How fast it must be fixed. Set by the product owner. P1 / P2 / P3 / P4.</t>
        </is>
      </c>
    </row>
    <row r="38" ht="30" customHeight="1">
      <c r="A38" s="2" t="inlineStr">
        <is>
          <t>Example</t>
        </is>
      </c>
      <c r="B38" s="3" t="inlineStr">
        <is>
          <t>A typo on the landing page is Trivial severity — but P1 priority if a school is visiting the site tomorrow.</t>
        </is>
      </c>
    </row>
    <row r="40" ht="24" customHeight="1">
      <c r="A40" s="4" t="inlineStr">
        <is>
          <t>SEVERITY SCALE</t>
        </is>
      </c>
    </row>
    <row r="41" ht="30" customHeight="1">
      <c r="A41" s="2" t="inlineStr">
        <is>
          <t>Critical</t>
        </is>
      </c>
      <c r="B41" s="3" t="inlineStr">
        <is>
          <t>Data loss, data leak between roles, money is wrong, or the app cannot be used at all. Stop the release.</t>
        </is>
      </c>
    </row>
    <row r="42" ht="16" customHeight="1">
      <c r="A42" s="2" t="inlineStr">
        <is>
          <t>Major</t>
        </is>
      </c>
      <c r="B42" s="3" t="inlineStr">
        <is>
          <t>A main function does not work, and there is no workaround.</t>
        </is>
      </c>
    </row>
    <row r="43" ht="16" customHeight="1">
      <c r="A43" s="2" t="inlineStr">
        <is>
          <t>Minor</t>
        </is>
      </c>
      <c r="B43" s="3" t="inlineStr">
        <is>
          <t>A function works but behaves wrongly, or there is an acceptable workaround.</t>
        </is>
      </c>
    </row>
    <row r="44" ht="16" customHeight="1">
      <c r="A44" s="2" t="inlineStr">
        <is>
          <t>Trivial</t>
        </is>
      </c>
      <c r="B44" s="3" t="inlineStr">
        <is>
          <t>Cosmetic: spacing, wording, colour, alignment.</t>
        </is>
      </c>
    </row>
    <row r="46" ht="24" customHeight="1">
      <c r="A46" s="4" t="inlineStr">
        <is>
          <t>RULES THAT MAKE THIS WORKBOOK WORTH KEEPING</t>
        </is>
      </c>
    </row>
    <row r="47" ht="30" customHeight="1">
      <c r="A47" s="2" t="inlineStr">
        <is>
          <t>Be reproducible</t>
        </is>
      </c>
      <c r="B47" s="3" t="inlineStr">
        <is>
          <t>Anyone must be able to read a row and reproduce your result exactly. If they cannot, the row is worthless.</t>
        </is>
      </c>
    </row>
    <row r="48" ht="16" customHeight="1">
      <c r="A48" s="2" t="inlineStr">
        <is>
          <t>One element, one row</t>
        </is>
      </c>
      <c r="B48" s="3" t="inlineStr">
        <is>
          <t>Never write 'tested the whole page'. That hides everything you did not check.</t>
        </is>
      </c>
    </row>
    <row r="49" ht="16" customHeight="1">
      <c r="A49" s="2" t="inlineStr">
        <is>
          <t>Never delete a row</t>
        </is>
      </c>
      <c r="B49" s="3" t="inlineStr">
        <is>
          <t>A test that no longer applies is marked N-A, not erased. History is the point.</t>
        </is>
      </c>
    </row>
    <row r="50" ht="30" customHeight="1">
      <c r="A50" s="2" t="inlineStr">
        <is>
          <t>Test as the user, not the author</t>
        </is>
      </c>
      <c r="B50" s="3" t="inlineStr">
        <is>
          <t>Write your Expected Result from the specification, not from your own code. Otherwise you only test what you remembered to build.</t>
        </is>
      </c>
    </row>
    <row r="51" ht="16" customHeight="1">
      <c r="A51" s="2" t="inlineStr">
        <is>
          <t>Record the build</t>
        </is>
      </c>
      <c r="B51" s="3" t="inlineStr">
        <is>
          <t>A result without a build number cannot be trusted a week later.</t>
        </is>
      </c>
    </row>
    <row r="53" ht="24" customHeight="1">
      <c r="A53" s="4" t="inlineStr">
        <is>
          <t>WHAT AUTOMATION ALREADY COVERS — DO NOT REDO IT BY HAND</t>
        </is>
      </c>
    </row>
    <row r="54" ht="16" customHeight="1">
      <c r="A54" s="2" t="inlineStr">
        <is>
          <t>Automated suites</t>
        </is>
      </c>
      <c r="B54" s="3" t="inlineStr">
        <is>
          <t>56 core tests, 11 server tests, 17 Playwright end-to-end journeys, all gating the deploy in CI.</t>
        </is>
      </c>
    </row>
    <row r="55" ht="30" customHeight="1">
      <c r="A55" s="2" t="inlineStr">
        <is>
          <t>Dead-button audit</t>
        </is>
      </c>
      <c r="B55" s="3" t="inlineStr">
        <is>
          <t>e2e/outil.audit-clics.mjs already clicks every button on every page for 3 roles and reports dead ones.</t>
        </is>
      </c>
    </row>
    <row r="56" ht="30" customHeight="1">
      <c r="A56" s="2" t="inlineStr">
        <is>
          <t>Spend your manual time on</t>
        </is>
      </c>
      <c r="B56" s="3" t="inlineStr">
        <is>
          <t>Does it look right · Does it read right in Arabic (RTL) · Is the business rule correct · Is the number correct · Does it make sense to a real school.</t>
        </is>
      </c>
    </row>
  </sheetData>
  <mergeCells count="8">
    <mergeCell ref="A7:B7"/>
    <mergeCell ref="A46:B46"/>
    <mergeCell ref="A1:B1"/>
    <mergeCell ref="A40:B40"/>
    <mergeCell ref="A18:B18"/>
    <mergeCell ref="A27:B27"/>
    <mergeCell ref="A53:B53"/>
    <mergeCell ref="A35:B35"/>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B2:F54"/>
  <sheetViews>
    <sheetView showGridLines="0" workbookViewId="0">
      <selection activeCell="A1" sqref="A1"/>
    </sheetView>
  </sheetViews>
  <sheetFormatPr baseColWidth="8" defaultRowHeight="15"/>
  <cols>
    <col width="4" customWidth="1" min="1" max="1"/>
    <col width="34" customWidth="1" min="2" max="2"/>
    <col width="16" customWidth="1" min="3" max="3"/>
    <col width="16" customWidth="1" min="4" max="4"/>
    <col width="16" customWidth="1" min="5" max="5"/>
    <col width="44" customWidth="1" min="6" max="6"/>
  </cols>
  <sheetData>
    <row r="2" ht="34" customHeight="1">
      <c r="B2" s="1" t="inlineStr">
        <is>
          <t>COREON EDU — QA DASHBOARD</t>
        </is>
      </c>
    </row>
    <row r="3">
      <c r="B3" s="6" t="inlineStr">
        <is>
          <t>Read-only — every number is calculated from the other sheets. Do not type in column C.</t>
        </is>
      </c>
    </row>
    <row r="5" ht="22" customHeight="1">
      <c r="B5" s="4" t="inlineStr">
        <is>
          <t>TEST EXECUTION</t>
        </is>
      </c>
    </row>
    <row r="6">
      <c r="B6" s="7" t="inlineStr">
        <is>
          <t>Test cases logged</t>
        </is>
      </c>
      <c r="C6" s="8">
        <f>COUNTA('Test Log'!A3:A600)</f>
        <v/>
      </c>
      <c r="F6" s="9" t="inlineStr">
        <is>
          <t>Rows filled in the Test Log</t>
        </is>
      </c>
    </row>
    <row r="7">
      <c r="B7" s="7" t="inlineStr">
        <is>
          <t>Executed</t>
        </is>
      </c>
      <c r="C7" s="8">
        <f>COUNTIFS('Test Log'!T3:T600,"PASS")+COUNTIFS('Test Log'!T3:T600,"FAIL")+COUNTIFS('Test Log'!T3:T600,"BLOCKED")</f>
        <v/>
      </c>
      <c r="F7" s="9" t="inlineStr">
        <is>
          <t>Pass + Fail + Blocked</t>
        </is>
      </c>
    </row>
    <row r="8">
      <c r="B8" s="7" t="inlineStr">
        <is>
          <t>Passed</t>
        </is>
      </c>
      <c r="C8" s="8">
        <f>COUNTIF('Test Log'!T3:T600,"PASS")</f>
        <v/>
      </c>
      <c r="F8" s="9" t="inlineStr"/>
    </row>
    <row r="9">
      <c r="B9" s="7" t="inlineStr">
        <is>
          <t>Failed</t>
        </is>
      </c>
      <c r="C9" s="8">
        <f>COUNTIF('Test Log'!T3:T600,"FAIL")</f>
        <v/>
      </c>
      <c r="F9" s="9" t="inlineStr"/>
    </row>
    <row r="10">
      <c r="B10" s="7" t="inlineStr">
        <is>
          <t>Blocked</t>
        </is>
      </c>
      <c r="C10" s="8">
        <f>COUNTIF('Test Log'!T3:T600,"BLOCKED")</f>
        <v/>
      </c>
      <c r="F10" s="9" t="inlineStr">
        <is>
          <t>Could not be tested — not the same as a failure</t>
        </is>
      </c>
    </row>
    <row r="11">
      <c r="B11" s="7" t="inlineStr">
        <is>
          <t>Not run</t>
        </is>
      </c>
      <c r="C11" s="8">
        <f>COUNTIF('Test Log'!T3:T600,"NOT RUN")</f>
        <v/>
      </c>
      <c r="F11" s="9" t="inlineStr"/>
    </row>
    <row r="12">
      <c r="B12" s="7" t="inlineStr">
        <is>
          <t>Pass rate</t>
        </is>
      </c>
      <c r="C12" s="10">
        <f>IF(C7=0,"",C8/C7)</f>
        <v/>
      </c>
      <c r="F12" s="9" t="inlineStr">
        <is>
          <t>Passed / executed</t>
        </is>
      </c>
    </row>
    <row r="13">
      <c r="B13" s="7" t="inlineStr">
        <is>
          <t>Execution progress</t>
        </is>
      </c>
      <c r="C13" s="10">
        <f>IF(C6=0,"",C7/C6)</f>
        <v/>
      </c>
      <c r="F13" s="9" t="inlineStr">
        <is>
          <t>Executed / logged</t>
        </is>
      </c>
    </row>
    <row r="15" ht="22" customHeight="1">
      <c r="B15" s="4" t="inlineStr">
        <is>
          <t>DEFECTS</t>
        </is>
      </c>
    </row>
    <row r="16">
      <c r="B16" s="7" t="inlineStr">
        <is>
          <t>Total defects</t>
        </is>
      </c>
      <c r="C16" s="8">
        <f>COUNTA('Defect Log'!A3:A400)</f>
        <v/>
      </c>
      <c r="F16" s="9" t="inlineStr"/>
    </row>
    <row r="17">
      <c r="B17" s="7" t="inlineStr">
        <is>
          <t>Open</t>
        </is>
      </c>
      <c r="C17" s="8">
        <f>COUNTA('Defect Log'!A3:A400)-COUNTIFS('Defect Log'!U3:U400,"CLOSED")-COUNTIFS('Defect Log'!U3:U400,"WON'T FIX")-COUNTIFS('Defect Log'!U3:U400,"DUPLICATE")-COUNTIFS('Defect Log'!U3:U400,"NOT A BUG")</f>
        <v/>
      </c>
      <c r="F17" s="9" t="inlineStr"/>
    </row>
    <row r="18">
      <c r="B18" s="7" t="inlineStr">
        <is>
          <t>Open Critical</t>
        </is>
      </c>
      <c r="C18" s="8">
        <f>COUNTIFS('Defect Log'!O3:O400,"Critical",'Defect Log'!U3:U400,"&lt;&gt;CLOSED")</f>
        <v/>
      </c>
      <c r="F18" s="9" t="inlineStr">
        <is>
          <t>MUST be 0 before any release</t>
        </is>
      </c>
    </row>
    <row r="19">
      <c r="B19" s="7" t="inlineStr">
        <is>
          <t>Open Major</t>
        </is>
      </c>
      <c r="C19" s="8">
        <f>COUNTIFS('Defect Log'!O3:O400,"Major",'Defect Log'!U3:U400,"&lt;&gt;CLOSED")</f>
        <v/>
      </c>
      <c r="F19" s="9" t="inlineStr"/>
    </row>
    <row r="20">
      <c r="B20" s="7" t="inlineStr">
        <is>
          <t>Open Minor</t>
        </is>
      </c>
      <c r="C20" s="8">
        <f>COUNTIFS('Defect Log'!O3:O400,"Minor",'Defect Log'!U3:U400,"&lt;&gt;CLOSED")</f>
        <v/>
      </c>
      <c r="F20" s="9" t="inlineStr"/>
    </row>
    <row r="21">
      <c r="B21" s="7" t="inlineStr">
        <is>
          <t>Open Trivial</t>
        </is>
      </c>
      <c r="C21" s="8">
        <f>COUNTIFS('Defect Log'!O3:O400,"Trivial",'Defect Log'!U3:U400,"&lt;&gt;CLOSED")</f>
        <v/>
      </c>
      <c r="F21" s="9" t="inlineStr"/>
    </row>
    <row r="22">
      <c r="B22" s="7" t="inlineStr">
        <is>
          <t>P1 outstanding</t>
        </is>
      </c>
      <c r="C22" s="8">
        <f>COUNTIFS('Defect Log'!P3:P400,"P1 - Immediate",'Defect Log'!U3:U400,"&lt;&gt;CLOSED")</f>
        <v/>
      </c>
      <c r="F22" s="9" t="inlineStr"/>
    </row>
    <row r="23">
      <c r="B23" s="7" t="inlineStr">
        <is>
          <t>Awaiting retest</t>
        </is>
      </c>
      <c r="C23" s="8">
        <f>COUNTIF('Defect Log'!U3:U400,"READY TO RETEST")</f>
        <v/>
      </c>
      <c r="F23" s="9" t="inlineStr"/>
    </row>
    <row r="24">
      <c r="B24" s="7" t="inlineStr">
        <is>
          <t>Reopened</t>
        </is>
      </c>
      <c r="C24" s="8">
        <f>COUNTIF('Defect Log'!U3:U400,"REOPENED")</f>
        <v/>
      </c>
      <c r="F24" s="9" t="inlineStr">
        <is>
          <t>High reopen count = fixes are not verified</t>
        </is>
      </c>
    </row>
    <row r="26" ht="22" customHeight="1">
      <c r="B26" s="4" t="inlineStr">
        <is>
          <t>MODULE COVERAGE</t>
        </is>
      </c>
    </row>
    <row r="27">
      <c r="B27" s="7" t="inlineStr">
        <is>
          <t>Modules total</t>
        </is>
      </c>
      <c r="C27" s="8">
        <f>COUNTA(Modules!B3:B60)</f>
        <v/>
      </c>
      <c r="F27" s="9" t="inlineStr"/>
    </row>
    <row r="28">
      <c r="B28" s="7" t="inlineStr">
        <is>
          <t>Complete</t>
        </is>
      </c>
      <c r="C28" s="8">
        <f>COUNTIF(Modules!G3:G60,"Complete")</f>
        <v/>
      </c>
      <c r="F28" s="9" t="inlineStr"/>
    </row>
    <row r="29">
      <c r="B29" s="7" t="inlineStr">
        <is>
          <t>In progress</t>
        </is>
      </c>
      <c r="C29" s="8">
        <f>COUNTIF(Modules!G3:G60,"In progress")</f>
        <v/>
      </c>
      <c r="F29" s="9" t="inlineStr"/>
    </row>
    <row r="30">
      <c r="B30" s="7" t="inlineStr">
        <is>
          <t>Not started</t>
        </is>
      </c>
      <c r="C30" s="8">
        <f>COUNTIF(Modules!G3:G60,"Not started")</f>
        <v/>
      </c>
      <c r="F30" s="9" t="inlineStr"/>
    </row>
    <row r="31">
      <c r="B31" s="7" t="inlineStr">
        <is>
          <t>Blocked</t>
        </is>
      </c>
      <c r="C31" s="8">
        <f>COUNTIF(Modules!G3:G60,"Blocked")</f>
        <v/>
      </c>
      <c r="F31" s="9" t="inlineStr"/>
    </row>
    <row r="32">
      <c r="B32" s="7" t="inlineStr">
        <is>
          <t>Modules complete %</t>
        </is>
      </c>
      <c r="C32" s="10">
        <f>IF(C27=0,"",C28/C27)</f>
        <v/>
      </c>
      <c r="F32" s="9" t="inlineStr"/>
    </row>
    <row r="33">
      <c r="B33" s="7" t="inlineStr">
        <is>
          <t>Elements identified</t>
        </is>
      </c>
      <c r="C33" s="8">
        <f>SUM(Modules!H3:H60)</f>
        <v/>
      </c>
      <c r="F33" s="9" t="inlineStr"/>
    </row>
    <row r="34">
      <c r="B34" s="7" t="inlineStr">
        <is>
          <t>Elements tested</t>
        </is>
      </c>
      <c r="C34" s="8">
        <f>SUM(Modules!I3:I60)</f>
        <v/>
      </c>
      <c r="F34" s="9" t="inlineStr"/>
    </row>
    <row r="35">
      <c r="B35" s="7" t="inlineStr">
        <is>
          <t>Element coverage %</t>
        </is>
      </c>
      <c r="C35" s="10">
        <f>IF(C33=0,"",C34/C33)</f>
        <v/>
      </c>
      <c r="F35" s="9" t="inlineStr">
        <is>
          <t>The real 'have I clicked everything' number</t>
        </is>
      </c>
    </row>
    <row r="37" ht="22" customHeight="1">
      <c r="B37" s="4" t="inlineStr">
        <is>
          <t>EXIT CRITERIA — may we release?</t>
        </is>
      </c>
    </row>
    <row r="38">
      <c r="B38" s="7" t="inlineStr">
        <is>
          <t>No test case left Not Run</t>
        </is>
      </c>
      <c r="C38" s="11">
        <f>IF(C11=0,"MET","NOT MET")</f>
        <v/>
      </c>
    </row>
    <row r="39">
      <c r="B39" s="7" t="inlineStr">
        <is>
          <t>Zero open Critical defects</t>
        </is>
      </c>
      <c r="C39" s="11">
        <f>IF(C18=0,"MET","NOT MET")</f>
        <v/>
      </c>
    </row>
    <row r="40">
      <c r="B40" s="7" t="inlineStr">
        <is>
          <t>Zero open P1 defects</t>
        </is>
      </c>
      <c r="C40" s="11">
        <f>IF(C22=0,"MET","NOT MET")</f>
        <v/>
      </c>
    </row>
    <row r="41">
      <c r="B41" s="7" t="inlineStr">
        <is>
          <t>Pass rate at or above 95%</t>
        </is>
      </c>
      <c r="C41" s="11">
        <f>IF(N(C12)&gt;=0.95,"MET","NOT MET")</f>
        <v/>
      </c>
    </row>
    <row r="42">
      <c r="B42" s="7" t="inlineStr">
        <is>
          <t>All modules Complete or Out of scope</t>
        </is>
      </c>
      <c r="C42" s="11">
        <f>IF(C30+C29+C31=0,"MET","NOT MET")</f>
        <v/>
      </c>
    </row>
    <row r="43">
      <c r="B43" s="7" t="inlineStr">
        <is>
          <t>Every fixed defect retested</t>
        </is>
      </c>
      <c r="C43" s="11">
        <f>IF(C23=0,"MET","NOT MET")</f>
        <v/>
      </c>
    </row>
    <row r="45" ht="22" customHeight="1">
      <c r="B45" s="12" t="inlineStr">
        <is>
          <t>VERDICT:  release only when every line above says MET.  If you override it, write down who decided and why — in Test Cycles.</t>
        </is>
      </c>
    </row>
    <row r="47" ht="22" customHeight="1">
      <c r="B47" s="4" t="inlineStr">
        <is>
          <t>CHANGE REQUESTS</t>
        </is>
      </c>
    </row>
    <row r="48">
      <c r="B48" s="7" t="inlineStr">
        <is>
          <t>Total change requests</t>
        </is>
      </c>
      <c r="C48" s="8">
        <f>COUNTA('Change Requests'!A3:A250)</f>
        <v/>
      </c>
      <c r="F48" s="9" t="inlineStr"/>
    </row>
    <row r="49">
      <c r="B49" s="7" t="inlineStr">
        <is>
          <t>P1 outstanding</t>
        </is>
      </c>
      <c r="C49" s="8">
        <f>COUNTIFS('Change Requests'!M3:M250,"P1 - Immediate",'Change Requests'!O3:O250,"&lt;&gt;DONE")</f>
        <v/>
      </c>
      <c r="F49" s="9" t="inlineStr"/>
    </row>
    <row r="50">
      <c r="B50" s="7" t="inlineStr">
        <is>
          <t>Epics</t>
        </is>
      </c>
      <c r="C50" s="8">
        <f>COUNTIF('Change Requests'!E3:E250,"Epic")</f>
        <v/>
      </c>
      <c r="F50" s="9" t="inlineStr">
        <is>
          <t>Big items that must be broken down further</t>
        </is>
      </c>
    </row>
    <row r="51">
      <c r="B51" s="7" t="inlineStr">
        <is>
          <t>Research items</t>
        </is>
      </c>
      <c r="C51" s="8">
        <f>COUNTIF('Change Requests'!E3:E250,"Research")</f>
        <v/>
      </c>
      <c r="F51" s="9" t="inlineStr">
        <is>
          <t>Must be answered before their children can start</t>
        </is>
      </c>
    </row>
    <row r="52">
      <c r="B52" s="7" t="inlineStr">
        <is>
          <t>New features</t>
        </is>
      </c>
      <c r="C52" s="8">
        <f>COUNTIF('Change Requests'!E3:E250,"New feature")</f>
        <v/>
      </c>
      <c r="F52" s="9" t="inlineStr"/>
    </row>
    <row r="53">
      <c r="B53" s="7" t="inlineStr">
        <is>
          <t>Done</t>
        </is>
      </c>
      <c r="C53" s="8">
        <f>COUNTIF('Change Requests'!O3:O250,"DONE")</f>
        <v/>
      </c>
      <c r="F53" s="9" t="inlineStr"/>
    </row>
    <row r="54">
      <c r="B54" s="7" t="inlineStr">
        <is>
          <t>Completion</t>
        </is>
      </c>
      <c r="C54" s="10">
        <f>IF(C48=0,"",C53/C48)</f>
        <v/>
      </c>
      <c r="F54" s="9" t="inlineStr"/>
    </row>
  </sheetData>
  <mergeCells count="7">
    <mergeCell ref="B47:F47"/>
    <mergeCell ref="B2:F2"/>
    <mergeCell ref="B15:F15"/>
    <mergeCell ref="B5:F5"/>
    <mergeCell ref="B37:F37"/>
    <mergeCell ref="B45:F45"/>
    <mergeCell ref="B26:F26"/>
  </mergeCells>
  <conditionalFormatting sqref="C38:C43">
    <cfRule type="cellIs" priority="1" operator="equal" dxfId="0">
      <formula>"MET"</formula>
    </cfRule>
    <cfRule type="cellIs" priority="2" operator="equal" dxfId="1">
      <formula>"NOT MET"</formula>
    </cfRule>
  </conditionalFormatting>
  <pageMargins left="0.75" right="0.75" top="1" bottom="1" header="0.5" footer="0.5"/>
</worksheet>
</file>

<file path=xl/worksheets/sheet3.xml><?xml version="1.0" encoding="utf-8"?>
<worksheet xmlns="http://schemas.openxmlformats.org/spreadsheetml/2006/main">
  <sheetPr>
    <tabColor rgb="007539E4"/>
    <outlinePr summaryBelow="1" summaryRight="1"/>
    <pageSetUpPr/>
  </sheetPr>
  <dimension ref="A1:AA600"/>
  <sheetViews>
    <sheetView workbookViewId="0">
      <pane xSplit="6" ySplit="2" topLeftCell="G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1" customWidth="1" min="2" max="2"/>
    <col width="12" customWidth="1" min="3" max="3"/>
    <col width="15" customWidth="1" min="4" max="4"/>
    <col width="14" customWidth="1" min="5" max="5"/>
    <col width="17" customWidth="1" min="6" max="6"/>
    <col width="18" customWidth="1" min="7" max="7"/>
    <col width="16" customWidth="1" min="8" max="8"/>
    <col width="18" customWidth="1" min="9" max="9"/>
    <col width="22" customWidth="1" min="10" max="10"/>
    <col width="15" customWidth="1" min="11" max="11"/>
    <col width="30" customWidth="1" min="12" max="12"/>
    <col width="14" customWidth="1" min="13" max="13"/>
    <col width="34" customWidth="1" min="14" max="14"/>
    <col width="26" customWidth="1" min="15" max="15"/>
    <col width="40" customWidth="1" min="16" max="16"/>
    <col width="20" customWidth="1" min="17" max="17"/>
    <col width="38" customWidth="1" min="18" max="18"/>
    <col width="38" customWidth="1" min="19" max="19"/>
    <col width="11" customWidth="1" min="20" max="20"/>
    <col width="11" customWidth="1" min="21" max="21"/>
    <col width="15" customWidth="1" min="22" max="22"/>
    <col width="11" customWidth="1" min="23" max="23"/>
    <col width="24" customWidth="1" min="24" max="24"/>
    <col width="13" customWidth="1" min="25" max="25"/>
    <col width="11" customWidth="1" min="26" max="26"/>
    <col width="26" customWidth="1" min="27" max="27"/>
  </cols>
  <sheetData>
    <row r="1" ht="26" customHeight="1">
      <c r="A1" s="13" t="inlineStr">
        <is>
          <t>TEST LOG — one row per element tested.  Fill Expected result BEFORE you click.  Every FAIL needs a Defect ID.</t>
        </is>
      </c>
    </row>
    <row r="2" ht="42" customHeight="1">
      <c r="A2" s="14" t="inlineStr">
        <is>
          <t>Test ID</t>
        </is>
      </c>
      <c r="B2" s="14" t="inlineStr">
        <is>
          <t>Date</t>
        </is>
      </c>
      <c r="C2" s="14" t="inlineStr">
        <is>
          <t>Tester</t>
        </is>
      </c>
      <c r="D2" s="14" t="inlineStr">
        <is>
          <t>Build / Commit</t>
        </is>
      </c>
      <c r="E2" s="14" t="inlineStr">
        <is>
          <t>Environment</t>
        </is>
      </c>
      <c r="F2" s="14" t="inlineStr">
        <is>
          <t>Browser / Device</t>
        </is>
      </c>
      <c r="G2" s="14" t="inlineStr">
        <is>
          <t>Module / Feature</t>
        </is>
      </c>
      <c r="H2" s="14" t="inlineStr">
        <is>
          <t>Sub-module</t>
        </is>
      </c>
      <c r="I2" s="14" t="inlineStr">
        <is>
          <t>Screen / Page</t>
        </is>
      </c>
      <c r="J2" s="14" t="inlineStr">
        <is>
          <t>Route (URL)</t>
        </is>
      </c>
      <c r="K2" s="14" t="inlineStr">
        <is>
          <t>Element type</t>
        </is>
      </c>
      <c r="L2" s="14" t="inlineStr">
        <is>
          <t>Element name (label on screen)</t>
        </is>
      </c>
      <c r="M2" s="14" t="inlineStr">
        <is>
          <t>Role under test</t>
        </is>
      </c>
      <c r="N2" s="14" t="inlineStr">
        <is>
          <t>Test title</t>
        </is>
      </c>
      <c r="O2" s="14" t="inlineStr">
        <is>
          <t>Preconditions</t>
        </is>
      </c>
      <c r="P2" s="14" t="inlineStr">
        <is>
          <t>Test steps</t>
        </is>
      </c>
      <c r="Q2" s="14" t="inlineStr">
        <is>
          <t>Test data</t>
        </is>
      </c>
      <c r="R2" s="14" t="inlineStr">
        <is>
          <t>Expected result</t>
        </is>
      </c>
      <c r="S2" s="14" t="inlineStr">
        <is>
          <t>Actual result</t>
        </is>
      </c>
      <c r="T2" s="14" t="inlineStr">
        <is>
          <t>Status</t>
        </is>
      </c>
      <c r="U2" s="14" t="inlineStr">
        <is>
          <t>Severity</t>
        </is>
      </c>
      <c r="V2" s="14" t="inlineStr">
        <is>
          <t>Priority</t>
        </is>
      </c>
      <c r="W2" s="14" t="inlineStr">
        <is>
          <t>Defect ID</t>
        </is>
      </c>
      <c r="X2" s="14" t="inlineStr">
        <is>
          <t>Evidence (screenshot / file)</t>
        </is>
      </c>
      <c r="Y2" s="14" t="inlineStr">
        <is>
          <t>Retest</t>
        </is>
      </c>
      <c r="Z2" s="14" t="inlineStr">
        <is>
          <t>Retest date</t>
        </is>
      </c>
      <c r="AA2" s="14" t="inlineStr">
        <is>
          <t>Comments</t>
        </is>
      </c>
    </row>
    <row r="3" ht="76" customHeight="1">
      <c r="A3" s="15" t="inlineStr">
        <is>
          <t>TC-001</t>
        </is>
      </c>
      <c r="B3" s="15">
        <f>TODAY()</f>
        <v/>
      </c>
      <c r="C3" s="15" t="inlineStr">
        <is>
          <t>Othman</t>
        </is>
      </c>
      <c r="D3" s="15" t="inlineStr">
        <is>
          <t>50d4c48</t>
        </is>
      </c>
      <c r="E3" s="15" t="inlineStr">
        <is>
          <t>Local dev</t>
        </is>
      </c>
      <c r="F3" s="15" t="inlineStr">
        <is>
          <t>Desktop Chrome</t>
        </is>
      </c>
      <c r="G3" s="15" t="inlineStr">
        <is>
          <t>Authentication</t>
        </is>
      </c>
      <c r="H3" s="15" t="inlineStr">
        <is>
          <t>Login</t>
        </is>
      </c>
      <c r="I3" s="15" t="inlineStr">
        <is>
          <t>Login</t>
        </is>
      </c>
      <c r="J3" s="15" t="inlineStr">
        <is>
          <t>#/login</t>
        </is>
      </c>
      <c r="K3" s="15" t="inlineStr">
        <is>
          <t>Form submit</t>
        </is>
      </c>
      <c r="L3" s="15" t="inlineStr">
        <is>
          <t>Se connecter (submit button)</t>
        </is>
      </c>
      <c r="M3" s="15" t="inlineStr">
        <is>
          <t>not logged in</t>
        </is>
      </c>
      <c r="N3" s="15" t="inlineStr">
        <is>
          <t>Login is refused with a wrong password</t>
        </is>
      </c>
      <c r="O3" s="15" t="inlineStr">
        <is>
          <t>App is open at #/login. Demo data seeded.</t>
        </is>
      </c>
      <c r="P3" s="15" t="inlineStr">
        <is>
          <t>1. Type parent@alnour.tn in E-mail
2. Type wrongpass in Mot de passe
3. Click Se connecter</t>
        </is>
      </c>
      <c r="Q3" s="15" t="inlineStr">
        <is>
          <t>parent@alnour.tn / wrongpass</t>
        </is>
      </c>
      <c r="R3" s="15" t="inlineStr">
        <is>
          <t>Error message 'E-mail ou mot de passe incorrect.' is shown. User stays on #/login. No session created.</t>
        </is>
      </c>
      <c r="S3" s="15" t="inlineStr"/>
      <c r="T3" s="15" t="inlineStr">
        <is>
          <t>NOT RUN</t>
        </is>
      </c>
      <c r="U3" s="15" t="inlineStr"/>
      <c r="V3" s="15" t="inlineStr"/>
      <c r="W3" s="15" t="inlineStr"/>
      <c r="X3" s="15" t="inlineStr"/>
      <c r="Y3" s="15" t="inlineStr">
        <is>
          <t>Not retested</t>
        </is>
      </c>
      <c r="Z3" s="15" t="inlineStr"/>
      <c r="AA3" s="15" t="inlineStr">
        <is>
          <t>Example row — delete or overwrite</t>
        </is>
      </c>
    </row>
    <row r="4" ht="76" customHeight="1">
      <c r="A4" s="15" t="inlineStr">
        <is>
          <t>TC-002</t>
        </is>
      </c>
      <c r="B4" s="15">
        <f>TODAY()</f>
        <v/>
      </c>
      <c r="C4" s="15" t="inlineStr">
        <is>
          <t>Othman</t>
        </is>
      </c>
      <c r="D4" s="15" t="inlineStr">
        <is>
          <t>50d4c48</t>
        </is>
      </c>
      <c r="E4" s="15" t="inlineStr">
        <is>
          <t>Local dev</t>
        </is>
      </c>
      <c r="F4" s="15" t="inlineStr">
        <is>
          <t>Mobile Chrome 390px</t>
        </is>
      </c>
      <c r="G4" s="15" t="inlineStr">
        <is>
          <t>Évaluation</t>
        </is>
      </c>
      <c r="H4" s="15" t="inlineStr">
        <is>
          <t>Save step</t>
        </is>
      </c>
      <c r="I4" s="15" t="inlineStr">
        <is>
          <t>Evaluate</t>
        </is>
      </c>
      <c r="J4" s="15" t="inlineStr">
        <is>
          <t>#/app/evaluate</t>
        </is>
      </c>
      <c r="K4" s="15" t="inlineStr">
        <is>
          <t>Button</t>
        </is>
      </c>
      <c r="L4" s="15" t="inlineStr">
        <is>
          <t>Enregistrer</t>
        </is>
      </c>
      <c r="M4" s="15" t="inlineStr">
        <is>
          <t>teacher</t>
        </is>
      </c>
      <c r="N4" s="15" t="inlineStr">
        <is>
          <t>Saving with zero students placed is blocked</t>
        </is>
      </c>
      <c r="O4" s="15" t="inlineStr">
        <is>
          <t>Logged in as enseignant@alnour.tn. A slot is selected. No student dragged into any bucket.</t>
        </is>
      </c>
      <c r="P4" s="15" t="inlineStr">
        <is>
          <t>1. Open #/app/evaluate
2. Select the live slot
3. Place no student
4. Click Enregistrer</t>
        </is>
      </c>
      <c r="Q4" s="15" t="inlineStr">
        <is>
          <t>Class CP-A, no placements</t>
        </is>
      </c>
      <c r="R4" s="15" t="inlineStr">
        <is>
          <t>An error toast appears, nothing is saved, no parent notification is sent, the button stays enabled.</t>
        </is>
      </c>
      <c r="S4" s="15" t="inlineStr"/>
      <c r="T4" s="15" t="inlineStr">
        <is>
          <t>NOT RUN</t>
        </is>
      </c>
      <c r="U4" s="15" t="inlineStr"/>
      <c r="V4" s="15" t="inlineStr"/>
      <c r="W4" s="15" t="inlineStr"/>
      <c r="X4" s="15" t="inlineStr"/>
      <c r="Y4" s="15" t="inlineStr">
        <is>
          <t>Not retested</t>
        </is>
      </c>
      <c r="Z4" s="15" t="inlineStr"/>
      <c r="AA4" s="15" t="inlineStr">
        <is>
          <t>Example row — delete or overwrite</t>
        </is>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row>
    <row r="501">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c r="AA501" s="16" t="n"/>
    </row>
    <row r="502">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c r="AA502" s="16" t="n"/>
    </row>
    <row r="503">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c r="AA503" s="16" t="n"/>
    </row>
    <row r="504">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c r="AA504" s="16" t="n"/>
    </row>
    <row r="505">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c r="AA505" s="16" t="n"/>
    </row>
    <row r="506">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c r="AA506" s="16" t="n"/>
    </row>
    <row r="507">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c r="AA507" s="16" t="n"/>
    </row>
    <row r="508">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c r="AA508" s="16" t="n"/>
    </row>
    <row r="509">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c r="AA509" s="16" t="n"/>
    </row>
    <row r="510">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c r="AA510" s="16" t="n"/>
    </row>
    <row r="511">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c r="AA511" s="16" t="n"/>
    </row>
    <row r="512">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c r="AA512" s="16" t="n"/>
    </row>
    <row r="513">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c r="AA513" s="16" t="n"/>
    </row>
    <row r="514">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c r="AA514" s="16" t="n"/>
    </row>
    <row r="515">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c r="AA515" s="16" t="n"/>
    </row>
    <row r="516">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c r="AA516" s="16" t="n"/>
    </row>
    <row r="517">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c r="AA517" s="16" t="n"/>
    </row>
    <row r="518">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c r="AA518" s="16" t="n"/>
    </row>
    <row r="519">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c r="AA519" s="16" t="n"/>
    </row>
    <row r="520">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c r="AA520" s="16" t="n"/>
    </row>
    <row r="521">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c r="AA521" s="16" t="n"/>
    </row>
    <row r="522">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c r="AA522" s="16" t="n"/>
    </row>
    <row r="523">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c r="AA523" s="16" t="n"/>
    </row>
    <row r="524">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c r="AA524" s="16" t="n"/>
    </row>
    <row r="525">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c r="AA525" s="16" t="n"/>
    </row>
    <row r="526">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c r="AA526" s="16" t="n"/>
    </row>
    <row r="527">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c r="AA527" s="16" t="n"/>
    </row>
    <row r="528">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c r="AA528" s="16" t="n"/>
    </row>
    <row r="529">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c r="AA529" s="16" t="n"/>
    </row>
    <row r="530">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c r="AA530" s="16" t="n"/>
    </row>
    <row r="531">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c r="AA531" s="16" t="n"/>
    </row>
    <row r="532">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c r="AA532" s="16" t="n"/>
    </row>
    <row r="533">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c r="AA533" s="16" t="n"/>
    </row>
    <row r="534">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c r="AA534" s="16" t="n"/>
    </row>
    <row r="535">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c r="AA535" s="16" t="n"/>
    </row>
    <row r="536">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c r="AA536" s="16" t="n"/>
    </row>
    <row r="537">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c r="AA537" s="16" t="n"/>
    </row>
    <row r="538">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c r="AA538" s="16" t="n"/>
    </row>
    <row r="539">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c r="AA539" s="16" t="n"/>
    </row>
    <row r="540">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c r="AA540" s="16" t="n"/>
    </row>
    <row r="541">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c r="AA541" s="16" t="n"/>
    </row>
    <row r="542">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c r="AA542" s="16" t="n"/>
    </row>
    <row r="543">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c r="AA543" s="16" t="n"/>
    </row>
    <row r="544">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c r="AA544" s="16" t="n"/>
    </row>
    <row r="545">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c r="AA545" s="16" t="n"/>
    </row>
    <row r="546">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c r="AA546" s="16" t="n"/>
    </row>
    <row r="547">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c r="AA547" s="16" t="n"/>
    </row>
    <row r="548">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c r="AA548" s="16" t="n"/>
    </row>
    <row r="549">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c r="AA549" s="16" t="n"/>
    </row>
    <row r="550">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c r="AA550" s="16" t="n"/>
    </row>
    <row r="551">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c r="AA551" s="16" t="n"/>
    </row>
    <row r="552">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c r="AA552" s="16" t="n"/>
    </row>
    <row r="553">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c r="AA553" s="16" t="n"/>
    </row>
    <row r="554">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c r="AA554" s="16" t="n"/>
    </row>
    <row r="555">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c r="AA555" s="16" t="n"/>
    </row>
    <row r="556">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c r="AA556" s="16" t="n"/>
    </row>
    <row r="557">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c r="AA557" s="16" t="n"/>
    </row>
    <row r="558">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c r="AA558" s="16" t="n"/>
    </row>
    <row r="559">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c r="AA559" s="16" t="n"/>
    </row>
    <row r="560">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c r="AA560" s="16" t="n"/>
    </row>
    <row r="561">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c r="AA561" s="16" t="n"/>
    </row>
    <row r="562">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c r="AA562" s="16" t="n"/>
    </row>
    <row r="563">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c r="AA563" s="16" t="n"/>
    </row>
    <row r="564">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c r="AA564" s="16" t="n"/>
    </row>
    <row r="565">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c r="AA565" s="16" t="n"/>
    </row>
    <row r="566">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c r="AA566" s="16" t="n"/>
    </row>
    <row r="567">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c r="AA567" s="16" t="n"/>
    </row>
    <row r="56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c r="AA568" s="16" t="n"/>
    </row>
    <row r="569">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c r="AA569" s="16" t="n"/>
    </row>
    <row r="570">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c r="AA570" s="16" t="n"/>
    </row>
    <row r="571">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c r="AA571" s="16" t="n"/>
    </row>
    <row r="572">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c r="AA572" s="16" t="n"/>
    </row>
    <row r="573">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c r="AA573" s="16" t="n"/>
    </row>
    <row r="574">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c r="AA574" s="16" t="n"/>
    </row>
    <row r="575">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c r="AA575" s="16" t="n"/>
    </row>
    <row r="576">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c r="AA576" s="16" t="n"/>
    </row>
    <row r="577">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c r="AA577" s="16" t="n"/>
    </row>
    <row r="57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c r="AA578" s="16" t="n"/>
    </row>
    <row r="579">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c r="AA579" s="16" t="n"/>
    </row>
    <row r="580">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c r="AA580" s="16" t="n"/>
    </row>
    <row r="581">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c r="AA581" s="16" t="n"/>
    </row>
    <row r="582">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c r="AA582" s="16" t="n"/>
    </row>
    <row r="583">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c r="AA583" s="16" t="n"/>
    </row>
    <row r="584">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c r="AA584" s="16" t="n"/>
    </row>
    <row r="585">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c r="AA585" s="16" t="n"/>
    </row>
    <row r="586">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c r="AA586" s="16" t="n"/>
    </row>
    <row r="587">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c r="AA587" s="16" t="n"/>
    </row>
    <row r="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c r="AA588" s="16" t="n"/>
    </row>
    <row r="589">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c r="AA589" s="16" t="n"/>
    </row>
    <row r="590">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c r="AA590" s="16" t="n"/>
    </row>
    <row r="591">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c r="AA591" s="16" t="n"/>
    </row>
    <row r="592">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c r="AA592" s="16" t="n"/>
    </row>
    <row r="593">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c r="AA593" s="16" t="n"/>
    </row>
    <row r="594">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c r="AA594" s="16" t="n"/>
    </row>
    <row r="595">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c r="AA595" s="16" t="n"/>
    </row>
    <row r="596">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c r="AA596" s="16" t="n"/>
    </row>
    <row r="597">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c r="AA597" s="16" t="n"/>
    </row>
    <row r="59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c r="AA598" s="16" t="n"/>
    </row>
    <row r="599">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c r="AA599" s="16" t="n"/>
    </row>
    <row r="600">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c r="AA600" s="16" t="n"/>
    </row>
  </sheetData>
  <autoFilter ref="A2:AA2"/>
  <mergeCells count="1">
    <mergeCell ref="A1:AA1"/>
  </mergeCells>
  <conditionalFormatting sqref="T3:T60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3">
      <formula>"N-A"</formula>
    </cfRule>
  </conditionalFormatting>
  <conditionalFormatting sqref="U3:U600">
    <cfRule type="cellIs" priority="6" operator="equal" dxfId="1">
      <formula>"Critical"</formula>
    </cfRule>
    <cfRule type="cellIs" priority="7" operator="equal" dxfId="2">
      <formula>"Major"</formula>
    </cfRule>
  </conditionalFormatting>
  <conditionalFormatting sqref="Y3:Y600">
    <cfRule type="cellIs" priority="8" operator="equal" dxfId="0">
      <formula>"PASS"</formula>
    </cfRule>
    <cfRule type="cellIs" priority="9" operator="equal" dxfId="1">
      <formula>"FAIL"</formula>
    </cfRule>
  </conditionalFormatting>
  <dataValidations count="8">
    <dataValidation sqref="E3:E600" showDropDown="0" showInputMessage="0" showErrorMessage="0" allowBlank="1" type="list">
      <formula1>=Lists!$G$2:$G$6</formula1>
    </dataValidation>
    <dataValidation sqref="F3:F600" showDropDown="0" showInputMessage="0" showErrorMessage="0" allowBlank="1" type="list">
      <formula1>=Lists!$H$2:$H$9</formula1>
    </dataValidation>
    <dataValidation sqref="K3:K600" showDropDown="0" showInputMessage="0" showErrorMessage="0" allowBlank="1" type="list">
      <formula1>=Lists!$D$2:$D$29</formula1>
    </dataValidation>
    <dataValidation sqref="M3:M600" showDropDown="0" showInputMessage="0" showErrorMessage="0" allowBlank="1" type="list">
      <formula1>=Lists!$F$2:$F$9</formula1>
    </dataValidation>
    <dataValidation sqref="T3:T600" showDropDown="0" showInputMessage="0" showErrorMessage="0" allowBlank="1" type="list">
      <formula1>=Lists!$A$2:$A$6</formula1>
    </dataValidation>
    <dataValidation sqref="U3:U600" showDropDown="0" showInputMessage="0" showErrorMessage="0" allowBlank="1" type="list">
      <formula1>=Lists!$B$2:$B$5</formula1>
    </dataValidation>
    <dataValidation sqref="V3:V600" showDropDown="0" showInputMessage="0" showErrorMessage="0" allowBlank="1" type="list">
      <formula1>=Lists!$C$2:$C$5</formula1>
    </dataValidation>
    <dataValidation sqref="Y3:Y600" showDropDown="0" showInputMessage="0" showErrorMessage="0" allowBlank="1" type="list">
      <formula1>=Lists!$K$2:$K$4</formula1>
    </dataValidation>
  </dataValidations>
  <pageMargins left="0.75" right="0.75" top="1" bottom="1" header="0.5" footer="0.5"/>
</worksheet>
</file>

<file path=xl/worksheets/sheet4.xml><?xml version="1.0" encoding="utf-8"?>
<worksheet xmlns="http://schemas.openxmlformats.org/spreadsheetml/2006/main">
  <sheetPr>
    <tabColor rgb="009C0006"/>
    <outlinePr summaryBelow="1" summaryRight="1"/>
    <pageSetUpPr/>
  </sheetPr>
  <dimension ref="A1:Z400"/>
  <sheetViews>
    <sheetView workbookViewId="0">
      <pane xSplit="5" ySplit="2" topLeftCell="F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2" customWidth="1" min="2" max="2"/>
    <col width="12" customWidth="1" min="3" max="3"/>
    <col width="12" customWidth="1" min="4" max="4"/>
    <col width="15" customWidth="1" min="5" max="5"/>
    <col width="18" customWidth="1" min="6" max="6"/>
    <col width="18" customWidth="1" min="7" max="7"/>
    <col width="22" customWidth="1" min="8" max="8"/>
    <col width="24" customWidth="1" min="9" max="9"/>
    <col width="13" customWidth="1" min="10" max="10"/>
    <col width="40" customWidth="1" min="11" max="11"/>
    <col width="40" customWidth="1" min="12" max="12"/>
    <col width="34" customWidth="1" min="13" max="13"/>
    <col width="34" customWidth="1" min="14" max="14"/>
    <col width="11" customWidth="1" min="15" max="15"/>
    <col width="15" customWidth="1" min="16" max="16"/>
    <col width="15" customWidth="1" min="17" max="17"/>
    <col width="14" customWidth="1" min="18" max="18"/>
    <col width="17" customWidth="1" min="19" max="19"/>
    <col width="22" customWidth="1" min="20" max="20"/>
    <col width="16" customWidth="1" min="21" max="21"/>
    <col width="13" customWidth="1" min="22" max="22"/>
    <col width="14" customWidth="1" min="23" max="23"/>
    <col width="12" customWidth="1" min="24" max="24"/>
    <col width="28" customWidth="1" min="25" max="25"/>
    <col width="26" customWidth="1" min="26" max="26"/>
  </cols>
  <sheetData>
    <row r="1" ht="26" customHeight="1">
      <c r="A1" s="13" t="inlineStr">
        <is>
          <t>DEFECT LOG — one row per bug.  Severity = how bad the damage (tester decides).  Priority = how fast to fix (owner decides).  They are not the same.</t>
        </is>
      </c>
    </row>
    <row r="2" ht="42" customHeight="1">
      <c r="A2" s="14" t="inlineStr">
        <is>
          <t>Defect ID</t>
        </is>
      </c>
      <c r="B2" s="14" t="inlineStr">
        <is>
          <t>Date found</t>
        </is>
      </c>
      <c r="C2" s="14" t="inlineStr">
        <is>
          <t>Found by</t>
        </is>
      </c>
      <c r="D2" s="14" t="inlineStr">
        <is>
          <t>Linked Test ID</t>
        </is>
      </c>
      <c r="E2" s="14" t="inlineStr">
        <is>
          <t>Build / Commit</t>
        </is>
      </c>
      <c r="F2" s="14" t="inlineStr">
        <is>
          <t>Module / Feature</t>
        </is>
      </c>
      <c r="G2" s="14" t="inlineStr">
        <is>
          <t>Screen / Page</t>
        </is>
      </c>
      <c r="H2" s="14" t="inlineStr">
        <is>
          <t>Route (URL)</t>
        </is>
      </c>
      <c r="I2" s="14" t="inlineStr">
        <is>
          <t>Element</t>
        </is>
      </c>
      <c r="J2" s="14" t="inlineStr">
        <is>
          <t>Role</t>
        </is>
      </c>
      <c r="K2" s="14" t="inlineStr">
        <is>
          <t>Summary (one line)</t>
        </is>
      </c>
      <c r="L2" s="14" t="inlineStr">
        <is>
          <t>Steps to reproduce</t>
        </is>
      </c>
      <c r="M2" s="14" t="inlineStr">
        <is>
          <t>Expected result</t>
        </is>
      </c>
      <c r="N2" s="14" t="inlineStr">
        <is>
          <t>Actual result</t>
        </is>
      </c>
      <c r="O2" s="14" t="inlineStr">
        <is>
          <t>Severity</t>
        </is>
      </c>
      <c r="P2" s="14" t="inlineStr">
        <is>
          <t>Priority</t>
        </is>
      </c>
      <c r="Q2" s="14" t="inlineStr">
        <is>
          <t>Reproducibility</t>
        </is>
      </c>
      <c r="R2" s="14" t="inlineStr">
        <is>
          <t>Environment</t>
        </is>
      </c>
      <c r="S2" s="14" t="inlineStr">
        <is>
          <t>Browser / Device</t>
        </is>
      </c>
      <c r="T2" s="14" t="inlineStr">
        <is>
          <t>Evidence</t>
        </is>
      </c>
      <c r="U2" s="14" t="inlineStr">
        <is>
          <t>Status</t>
        </is>
      </c>
      <c r="V2" s="14" t="inlineStr">
        <is>
          <t>Assigned to</t>
        </is>
      </c>
      <c r="W2" s="14" t="inlineStr">
        <is>
          <t>Fixed in build</t>
        </is>
      </c>
      <c r="X2" s="14" t="inlineStr">
        <is>
          <t>Date closed</t>
        </is>
      </c>
      <c r="Y2" s="14" t="inlineStr">
        <is>
          <t>Root cause</t>
        </is>
      </c>
      <c r="Z2" s="14" t="inlineStr">
        <is>
          <t>Comments</t>
        </is>
      </c>
    </row>
    <row r="3" ht="92" customHeight="1">
      <c r="A3" s="16" t="inlineStr">
        <is>
          <t>DEF-001</t>
        </is>
      </c>
      <c r="B3" s="16">
        <f>TODAY()</f>
        <v/>
      </c>
      <c r="C3" s="16" t="inlineStr">
        <is>
          <t>Othman</t>
        </is>
      </c>
      <c r="D3" s="16" t="inlineStr">
        <is>
          <t>(raw note 11)</t>
        </is>
      </c>
      <c r="E3" s="16" t="inlineStr">
        <is>
          <t>50d4c48</t>
        </is>
      </c>
      <c r="F3" s="16" t="inlineStr">
        <is>
          <t>Landing &amp; Login</t>
        </is>
      </c>
      <c r="G3" s="16" t="inlineStr">
        <is>
          <t>Login</t>
        </is>
      </c>
      <c r="H3" s="16" t="inlineStr">
        <is>
          <t>#/login</t>
        </is>
      </c>
      <c r="I3" s="16" t="inlineStr">
        <is>
          <t>Whole page</t>
        </is>
      </c>
      <c r="J3" s="16" t="inlineStr">
        <is>
          <t>all</t>
        </is>
      </c>
      <c r="K3" s="16" t="inlineStr">
        <is>
          <t>The login page does not fit the browser window</t>
        </is>
      </c>
      <c r="L3" s="16" t="inlineStr">
        <is>
          <t>1. Open #/login on a desktop browser
2. Observe the page against the window edges
3. Resize the window</t>
        </is>
      </c>
      <c r="M3" s="16" t="inlineStr">
        <is>
          <t>The page fits the viewport at every width, with no horizontal scrollbar and no clipped content.</t>
        </is>
      </c>
      <c r="N3" s="16" t="inlineStr">
        <is>
          <t>The layout does not fit the browser window; the page reads as broken.</t>
        </is>
      </c>
      <c r="O3" s="16" t="inlineStr">
        <is>
          <t>Major</t>
        </is>
      </c>
      <c r="P3" s="16" t="inlineStr">
        <is>
          <t>P2 - High</t>
        </is>
      </c>
      <c r="Q3" s="16" t="inlineStr">
        <is>
          <t>Always</t>
        </is>
      </c>
      <c r="R3" s="16" t="inlineStr">
        <is>
          <t>edu.kogiagroup.com</t>
        </is>
      </c>
      <c r="S3" s="16" t="inlineStr">
        <is>
          <t>Desktop Chrome</t>
        </is>
      </c>
      <c r="T3" s="16" t="inlineStr"/>
      <c r="U3" s="21" t="inlineStr">
        <is>
          <t>CLOSED</t>
        </is>
      </c>
      <c r="V3" s="16" t="inlineStr">
        <is>
          <t>Othman</t>
        </is>
      </c>
      <c r="W3" s="16" t="inlineStr">
        <is>
          <t>42601e8</t>
        </is>
      </c>
      <c r="X3" s="16" t="inlineStr">
        <is>
          <t>2026-07-22</t>
        </is>
      </c>
      <c r="Y3" s="16" t="inlineStr"/>
      <c r="Z3" s="16" t="inlineStr">
        <is>
          <t>Majeur → confirmé MOBILE UNIQUEMENT. Aucun débordement sur ordinateur (1280/1366/1440/1920 = 0). Cause : halo décoratif de 440px sans overflow-hidden. Le grief « ne rentre pas » sur grand écran est un sujet de DESIGN, suivi en CR-011.</t>
        </is>
      </c>
    </row>
    <row r="4" ht="92" customHeight="1">
      <c r="A4" s="16" t="inlineStr">
        <is>
          <t>DEF-002</t>
        </is>
      </c>
      <c r="B4" s="16">
        <f>TODAY()</f>
        <v/>
      </c>
      <c r="C4" s="16" t="inlineStr">
        <is>
          <t>Othman</t>
        </is>
      </c>
      <c r="D4" s="16" t="inlineStr">
        <is>
          <t>(raw note 15)</t>
        </is>
      </c>
      <c r="E4" s="16" t="inlineStr">
        <is>
          <t>50d4c48</t>
        </is>
      </c>
      <c r="F4" s="16" t="inlineStr">
        <is>
          <t>Dashboard</t>
        </is>
      </c>
      <c r="G4" s="16" t="inlineStr">
        <is>
          <t>Dashboard</t>
        </is>
      </c>
      <c r="H4" s="16" t="inlineStr">
        <is>
          <t>#/app</t>
        </is>
      </c>
      <c r="I4" s="16" t="inlineStr">
        <is>
          <t>Several tiles / elements</t>
        </is>
      </c>
      <c r="J4" s="16" t="inlineStr">
        <is>
          <t>owner</t>
        </is>
      </c>
      <c r="K4" s="16" t="inlineStr">
        <is>
          <t>Several dashboard elements are not clickable</t>
        </is>
      </c>
      <c r="L4" s="16" t="inlineStr">
        <is>
          <t>1. Log in as owner@kogia.tn
2. Open #/app
3. Click each tile, figure and card in turn
4. Note every one that does nothing</t>
        </is>
      </c>
      <c r="M4" s="16" t="inlineStr">
        <is>
          <t>Every tile and figure either opens a modal, navigates somewhere, or is visibly non-interactive by design.</t>
        </is>
      </c>
      <c r="N4" s="16" t="inlineStr">
        <is>
          <t>Some elements look clickable but do nothing when clicked.</t>
        </is>
      </c>
      <c r="O4" s="16" t="inlineStr">
        <is>
          <t>Major</t>
        </is>
      </c>
      <c r="P4" s="16" t="inlineStr">
        <is>
          <t>P2 - High</t>
        </is>
      </c>
      <c r="Q4" s="16" t="inlineStr">
        <is>
          <t>Always</t>
        </is>
      </c>
      <c r="R4" s="16" t="inlineStr">
        <is>
          <t>edu.kogiagroup.com</t>
        </is>
      </c>
      <c r="S4" s="16" t="inlineStr">
        <is>
          <t>Desktop Chrome</t>
        </is>
      </c>
      <c r="T4" s="16" t="inlineStr"/>
      <c r="U4" s="21" t="inlineStr">
        <is>
          <t>CLOSED</t>
        </is>
      </c>
      <c r="V4" s="16" t="inlineStr">
        <is>
          <t>Othman</t>
        </is>
      </c>
      <c r="W4" s="16" t="inlineStr">
        <is>
          <t>42601e8</t>
        </is>
      </c>
      <c r="X4" s="16" t="inlineStr">
        <is>
          <t>2026-07-22</t>
        </is>
      </c>
      <c r="Y4" s="16" t="inlineStr"/>
      <c r="Z4" s="16" t="inlineStr">
        <is>
          <t>Requalifié. Aucun élément TROMPEUR sur les 7 tableaux de bord. Réel : 3 chiffres de la console plateforme sans `to` ni `onClick` → rendus en &lt;div&gt; inerte. Les 4 mènent désormais à #/app/schools (vérifié en production).</t>
        </is>
      </c>
    </row>
    <row r="5" ht="92" customHeight="1">
      <c r="A5" s="16" t="inlineStr">
        <is>
          <t>DEF-003</t>
        </is>
      </c>
      <c r="B5" s="16">
        <f>TODAY()</f>
        <v/>
      </c>
      <c r="C5" s="16" t="inlineStr">
        <is>
          <t>Othman</t>
        </is>
      </c>
      <c r="D5" s="16" t="inlineStr">
        <is>
          <t>(raw note 6)</t>
        </is>
      </c>
      <c r="E5" s="16" t="inlineStr">
        <is>
          <t>50d4c48</t>
        </is>
      </c>
      <c r="F5" s="16" t="inlineStr">
        <is>
          <t>Landing &amp; Login</t>
        </is>
      </c>
      <c r="G5" s="16" t="inlineStr">
        <is>
          <t>Landing</t>
        </is>
      </c>
      <c r="H5" s="16" t="inlineStr">
        <is>
          <t>#/</t>
        </is>
      </c>
      <c r="I5" s="16" t="inlineStr">
        <is>
          <t>Anchor nav: Deux mondes / Modules / Vos données / Tarifs / FAQ</t>
        </is>
      </c>
      <c r="J5" s="16" t="inlineStr">
        <is>
          <t>public</t>
        </is>
      </c>
      <c r="K5" s="16" t="inlineStr">
        <is>
          <t>Landing anchor navigation gives no feedback that anything happened</t>
        </is>
      </c>
      <c r="L5" s="16" t="inlineStr">
        <is>
          <t>1. Open the landing page
2. Click 'Modules' in the nav
3. Observe the nav and the URL</t>
        </is>
      </c>
      <c r="M5" s="16" t="inlineStr">
        <is>
          <t>The clicked item is visibly marked as active and the user can tell the view changed.</t>
        </is>
      </c>
      <c r="N5" s="16" t="inlineStr">
        <is>
          <t>The page only scrolls; nothing in the nav changes, so the click feels like it did nothing.</t>
        </is>
      </c>
      <c r="O5" s="16" t="inlineStr">
        <is>
          <t>Minor</t>
        </is>
      </c>
      <c r="P5" s="16" t="inlineStr">
        <is>
          <t>P3 - Medium</t>
        </is>
      </c>
      <c r="Q5" s="16" t="inlineStr">
        <is>
          <t>Always</t>
        </is>
      </c>
      <c r="R5" s="16" t="inlineStr">
        <is>
          <t>edu.kogiagroup.com</t>
        </is>
      </c>
      <c r="S5" s="16" t="inlineStr">
        <is>
          <t>Desktop Chrome</t>
        </is>
      </c>
      <c r="T5" s="16" t="inlineStr"/>
      <c r="U5" s="21" t="inlineStr">
        <is>
          <t>CLOSED</t>
        </is>
      </c>
      <c r="V5" s="16" t="inlineStr">
        <is>
          <t>Othman</t>
        </is>
      </c>
      <c r="W5" s="16" t="inlineStr">
        <is>
          <t>42601e8</t>
        </is>
      </c>
      <c r="X5" s="16" t="inlineStr">
        <is>
          <t>2026-07-22</t>
        </is>
      </c>
      <c r="Y5" s="16" t="inlineStr"/>
      <c r="Z5" s="16" t="inlineStr">
        <is>
          <t>Requalifié MINEUR → MAJEUR. Les liens ne « défilaient » pas : ils ne faisaient RIEN. Incompatibilité &lt;a href=#ancre&gt; / HashRouter — 9 liens morts. Corrigé + état actif ajouté. Vérifié en production : 0 → 1979.</t>
        </is>
      </c>
    </row>
    <row r="6" ht="92" customHeight="1">
      <c r="A6" s="16" t="inlineStr">
        <is>
          <t>DEF-004</t>
        </is>
      </c>
      <c r="B6" s="16">
        <f>TODAY()</f>
        <v/>
      </c>
      <c r="C6" s="16" t="inlineStr">
        <is>
          <t>Othman</t>
        </is>
      </c>
      <c r="D6" s="16" t="inlineStr">
        <is>
          <t>(raw note 19)</t>
        </is>
      </c>
      <c r="E6" s="16" t="inlineStr">
        <is>
          <t>50d4c48</t>
        </is>
      </c>
      <c r="F6" s="16" t="inlineStr">
        <is>
          <t>Dashboard</t>
        </is>
      </c>
      <c r="G6" s="16" t="inlineStr">
        <is>
          <t>Dashboard</t>
        </is>
      </c>
      <c r="H6" s="16" t="inlineStr">
        <is>
          <t>#/app</t>
        </is>
      </c>
      <c r="I6" s="16" t="inlineStr">
        <is>
          <t>'Coreon Intelligence' heading block</t>
        </is>
      </c>
      <c r="J6" s="16" t="inlineStr">
        <is>
          <t>admin</t>
        </is>
      </c>
      <c r="K6" s="16" t="inlineStr">
        <is>
          <t>'Coreon Intelligence — ce que vos données disent cette semaine' is not aligned on one line</t>
        </is>
      </c>
      <c r="L6" s="16" t="inlineStr">
        <is>
          <t>1. Log in as admin@alnour.tn
2. Open #/app
3. Look at the Coreon Intelligence heading</t>
        </is>
      </c>
      <c r="M6" s="16" t="inlineStr">
        <is>
          <t>The title and its subtitle sit on a single consistent baseline.</t>
        </is>
      </c>
      <c r="N6" s="16" t="inlineStr">
        <is>
          <t>There is a small vertical drop between the two parts; they do not line up.</t>
        </is>
      </c>
      <c r="O6" s="16" t="inlineStr">
        <is>
          <t>Trivial</t>
        </is>
      </c>
      <c r="P6" s="16" t="inlineStr">
        <is>
          <t>P3 - Medium</t>
        </is>
      </c>
      <c r="Q6" s="16" t="inlineStr">
        <is>
          <t>Always</t>
        </is>
      </c>
      <c r="R6" s="16" t="inlineStr">
        <is>
          <t>edu.kogiagroup.com</t>
        </is>
      </c>
      <c r="S6" s="16" t="inlineStr">
        <is>
          <t>Desktop Chrome</t>
        </is>
      </c>
      <c r="T6" s="16" t="inlineStr"/>
      <c r="U6" s="21" t="inlineStr">
        <is>
          <t>CLOSED</t>
        </is>
      </c>
      <c r="V6" s="16" t="inlineStr">
        <is>
          <t>Othman</t>
        </is>
      </c>
      <c r="W6" s="16" t="inlineStr">
        <is>
          <t>42601e8</t>
        </is>
      </c>
      <c r="X6" s="16" t="inlineStr">
        <is>
          <t>2026-07-22</t>
        </is>
      </c>
      <c r="Y6" s="16" t="inlineStr"/>
      <c r="Z6" s="16" t="inlineStr">
        <is>
          <t>Confirmé. Cause : la ligne de base d'un conteneur flex vient de son premier élément ; ici une icône SVG, sans ligne de base. Icône passée en inline.</t>
        </is>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sheetData>
  <autoFilter ref="A2:Z2"/>
  <mergeCells count="1">
    <mergeCell ref="A1:Z1"/>
  </mergeCells>
  <conditionalFormatting sqref="O3:O400">
    <cfRule type="cellIs" priority="1" operator="equal" dxfId="1">
      <formula>"Critical"</formula>
    </cfRule>
    <cfRule type="cellIs" priority="2" operator="equal" dxfId="2">
      <formula>"Major"</formula>
    </cfRule>
    <cfRule type="cellIs" priority="3" operator="equal" dxfId="3">
      <formula>"Minor"</formula>
    </cfRule>
    <cfRule type="cellIs" priority="4" operator="equal" dxfId="3">
      <formula>"Trivial"</formula>
    </cfRule>
  </conditionalFormatting>
  <conditionalFormatting sqref="U3:U400">
    <cfRule type="cellIs" priority="5" operator="equal" dxfId="0">
      <formula>"CLOSED"</formula>
    </cfRule>
    <cfRule type="cellIs" priority="6" operator="equal" dxfId="0">
      <formula>"FIXED"</formula>
    </cfRule>
    <cfRule type="cellIs" priority="7" operator="equal" dxfId="1">
      <formula>"NEW"</formula>
    </cfRule>
    <cfRule type="cellIs" priority="8" operator="equal" dxfId="1">
      <formula>"OPEN"</formula>
    </cfRule>
    <cfRule type="cellIs" priority="9" operator="equal" dxfId="1">
      <formula>"REOPENED"</formula>
    </cfRule>
    <cfRule type="cellIs" priority="10" operator="equal" dxfId="2">
      <formula>"IN PROGRESS"</formula>
    </cfRule>
    <cfRule type="cellIs" priority="11" operator="equal" dxfId="2">
      <formula>"READY TO RETEST"</formula>
    </cfRule>
  </conditionalFormatting>
  <dataValidations count="7">
    <dataValidation sqref="O3:O400" showDropDown="0" showInputMessage="0" showErrorMessage="0" allowBlank="1" type="list">
      <formula1>=Lists!$B$2:$B$5</formula1>
    </dataValidation>
    <dataValidation sqref="P3:P400" showDropDown="0" showInputMessage="0" showErrorMessage="0" allowBlank="1" type="list">
      <formula1>=Lists!$C$2:$C$5</formula1>
    </dataValidation>
    <dataValidation sqref="Q3:Q400" showDropDown="0" showInputMessage="0" showErrorMessage="0" allowBlank="1" type="list">
      <formula1>=Lists!$J$2:$J$5</formula1>
    </dataValidation>
    <dataValidation sqref="R3:R400" showDropDown="0" showInputMessage="0" showErrorMessage="0" allowBlank="1" type="list">
      <formula1>=Lists!$G$2:$G$6</formula1>
    </dataValidation>
    <dataValidation sqref="S3:S400" showDropDown="0" showInputMessage="0" showErrorMessage="0" allowBlank="1" type="list">
      <formula1>=Lists!$H$2:$H$9</formula1>
    </dataValidation>
    <dataValidation sqref="U3:U400" showDropDown="0" showInputMessage="0" showErrorMessage="0" allowBlank="1" type="list">
      <formula1>=Lists!$I$2:$I$11</formula1>
    </dataValidation>
    <dataValidation sqref="J3:J400" showDropDown="0" showInputMessage="0" showErrorMessage="0" allowBlank="1" type="list">
      <formula1>=Lists!$F$2:$F$9</formula1>
    </dataValidation>
  </dataValidations>
  <pageMargins left="0.75" right="0.75" top="1" bottom="1" header="0.5" footer="0.5"/>
</worksheet>
</file>

<file path=xl/worksheets/sheet5.xml><?xml version="1.0" encoding="utf-8"?>
<worksheet xmlns="http://schemas.openxmlformats.org/spreadsheetml/2006/main">
  <sheetPr>
    <tabColor rgb="004361D0"/>
    <outlinePr summaryBelow="1" summaryRight="1"/>
    <pageSetUpPr/>
  </sheetPr>
  <dimension ref="A1:T144"/>
  <sheetViews>
    <sheetView workbookViewId="0">
      <pane xSplit="6" ySplit="2" topLeftCell="G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11" customWidth="1" min="3" max="3"/>
    <col width="10" customWidth="1" min="4" max="4"/>
    <col width="15" customWidth="1" min="5" max="5"/>
    <col width="22" customWidth="1" min="6" max="6"/>
    <col width="34" customWidth="1" min="7" max="7"/>
    <col width="52" customWidth="1" min="8" max="8"/>
    <col width="40" customWidth="1" min="9" max="9"/>
    <col width="20" customWidth="1" min="10" max="10"/>
    <col width="26" customWidth="1" min="11" max="11"/>
    <col width="16" customWidth="1" min="12" max="12"/>
    <col width="15" customWidth="1" min="13" max="13"/>
    <col width="9" customWidth="1" min="14" max="14"/>
    <col width="14" customWidth="1" min="15" max="15"/>
    <col width="14" customWidth="1" min="16" max="16"/>
    <col width="12" customWidth="1" min="17" max="17"/>
    <col width="56" customWidth="1" min="18" max="18"/>
    <col width="12" customWidth="1" min="19" max="19"/>
    <col width="26" customWidth="1" min="20" max="20"/>
  </cols>
  <sheetData>
    <row r="1" ht="26" customHeight="1">
      <c r="A1" s="13" t="inlineStr">
        <is>
          <t>CHANGE REQUEST LOG — things to ADD or CHANGE (the product works, but it should be different). A defect is 'it does not do what it should'. A change request is 'what it should do must change'.</t>
        </is>
      </c>
    </row>
    <row r="2" ht="42" customHeight="1">
      <c r="A2" s="14" t="inlineStr">
        <is>
          <t>CR ID</t>
        </is>
      </c>
      <c r="B2" s="14" t="inlineStr">
        <is>
          <t>Date raised</t>
        </is>
      </c>
      <c r="C2" s="14" t="inlineStr">
        <is>
          <t>Raised by</t>
        </is>
      </c>
      <c r="D2" s="14" t="inlineStr">
        <is>
          <t>Raw note #</t>
        </is>
      </c>
      <c r="E2" s="14" t="inlineStr">
        <is>
          <t>Type</t>
        </is>
      </c>
      <c r="F2" s="14" t="inlineStr">
        <is>
          <t>Epic / Theme</t>
        </is>
      </c>
      <c r="G2" s="14" t="inlineStr">
        <is>
          <t>Title</t>
        </is>
      </c>
      <c r="H2" s="14" t="inlineStr">
        <is>
          <t>What was asked (your words, tidied)</t>
        </is>
      </c>
      <c r="I2" s="14" t="inlineStr">
        <is>
          <t>Why it matters</t>
        </is>
      </c>
      <c r="J2" s="14" t="inlineStr">
        <is>
          <t>Area / Module</t>
        </is>
      </c>
      <c r="K2" s="14" t="inlineStr">
        <is>
          <t>Route (URL)</t>
        </is>
      </c>
      <c r="L2" s="14" t="inlineStr">
        <is>
          <t>Roles affected</t>
        </is>
      </c>
      <c r="M2" s="14" t="inlineStr">
        <is>
          <t>Priority</t>
        </is>
      </c>
      <c r="N2" s="14" t="inlineStr">
        <is>
          <t>Effort</t>
        </is>
      </c>
      <c r="O2" s="14" t="inlineStr">
        <is>
          <t>Status</t>
        </is>
      </c>
      <c r="P2" s="14" t="inlineStr">
        <is>
          <t>Target release</t>
        </is>
      </c>
      <c r="Q2" s="14" t="inlineStr">
        <is>
          <t>Depends on</t>
        </is>
      </c>
      <c r="R2" s="14" t="inlineStr">
        <is>
          <t>Acceptance criteria (how we know it is done)</t>
        </is>
      </c>
      <c r="S2" s="14" t="inlineStr">
        <is>
          <t>Linked defect</t>
        </is>
      </c>
      <c r="T2" s="14" t="inlineStr">
        <is>
          <t>Comments</t>
        </is>
      </c>
    </row>
    <row r="3" ht="108" customHeight="1">
      <c r="A3" s="16" t="inlineStr">
        <is>
          <t>CR-001</t>
        </is>
      </c>
      <c r="B3" s="16">
        <f>TODAY()</f>
        <v/>
      </c>
      <c r="C3" s="16" t="inlineStr">
        <is>
          <t>Othman</t>
        </is>
      </c>
      <c r="D3" s="16" t="n">
        <v>1</v>
      </c>
      <c r="E3" s="16" t="inlineStr">
        <is>
          <t>Content</t>
        </is>
      </c>
      <c r="F3" s="16" t="inlineStr">
        <is>
          <t>Content &amp; tone</t>
        </is>
      </c>
      <c r="G3" s="17" t="inlineStr">
        <is>
          <t>Remove the em dash (—) from all product copy</t>
        </is>
      </c>
      <c r="H3" s="16" t="inlineStr">
        <is>
          <t>Remove the '—' character everywhere it appears in product content.</t>
        </is>
      </c>
      <c r="I3" s="16" t="inlineStr">
        <is>
          <t>Consistent typography; the em dash reads as machine-written and is awkward in French and Arabic.</t>
        </is>
      </c>
      <c r="J3" s="16" t="inlineStr">
        <is>
          <t>All modules</t>
        </is>
      </c>
      <c r="K3" s="16" t="inlineStr">
        <is>
          <t>Global</t>
        </is>
      </c>
      <c r="L3" s="16" t="inlineStr">
        <is>
          <t>all</t>
        </is>
      </c>
      <c r="M3" s="16" t="inlineStr">
        <is>
          <t>P3 - Medium</t>
        </is>
      </c>
      <c r="N3" s="16" t="inlineStr">
        <is>
          <t>S</t>
        </is>
      </c>
      <c r="O3" s="16" t="inlineStr">
        <is>
          <t>TRIAGED</t>
        </is>
      </c>
      <c r="P3" s="16" t="inlineStr"/>
      <c r="Q3" s="16" t="inlineStr"/>
      <c r="R3" s="16" t="inlineStr">
        <is>
          <t>Grep the whole repo (app, core, mobile, i18n) for '—'. Zero occurrences remain in user-facing strings. Both fr and ar locale files verified. No layout breaks from the replacement punctuation.</t>
        </is>
      </c>
      <c r="S3" s="16" t="inlineStr"/>
      <c r="T3" s="16" t="inlineStr">
        <is>
          <t>PAS un remplacer-tout. 1108 occurrences : 457 en commentaires (à laisser), 49 dans t() — où la chaîne FRANÇAISE est la CLÉ de traduction : la modifier casse l'arabe en silence, sans qu'aucun test n'échoue. Il faut modifier l'appel ET la clé i18n.js dans le même geste, et choisir au cas par cas (· ici, virgule là). ~600 décisions : mérite une passe dédiée.</t>
        </is>
      </c>
    </row>
    <row r="4" ht="108" customHeight="1">
      <c r="A4" s="16" t="inlineStr">
        <is>
          <t>CR-002</t>
        </is>
      </c>
      <c r="B4" s="16">
        <f>TODAY()</f>
        <v/>
      </c>
      <c r="C4" s="16" t="inlineStr">
        <is>
          <t>Othman</t>
        </is>
      </c>
      <c r="D4" s="16" t="n">
        <v>2</v>
      </c>
      <c r="E4" s="16" t="inlineStr">
        <is>
          <t>Content</t>
        </is>
      </c>
      <c r="F4" s="16" t="inlineStr">
        <is>
          <t>Landing &amp; login</t>
        </is>
      </c>
      <c r="G4" s="17" t="inlineStr">
        <is>
          <t>Clarify or rename the 'Deux mondes' section</t>
        </is>
      </c>
      <c r="H4" s="16" t="inlineStr">
        <is>
          <t>The section title 'Deux mondes' is not self-explanatory; a visitor cannot tell what it means.</t>
        </is>
      </c>
      <c r="I4" s="16" t="inlineStr">
        <is>
          <t>The landing page has about five seconds to be understood. An unclear heading loses the visitor.</t>
        </is>
      </c>
      <c r="J4" s="16" t="inlineStr">
        <is>
          <t>Landing</t>
        </is>
      </c>
      <c r="K4" s="16" t="inlineStr">
        <is>
          <t>https://edu.kogiagroup.com/</t>
        </is>
      </c>
      <c r="L4" s="16" t="inlineStr">
        <is>
          <t>public</t>
        </is>
      </c>
      <c r="M4" s="16" t="inlineStr">
        <is>
          <t>P2 - High</t>
        </is>
      </c>
      <c r="N4" s="16" t="inlineStr">
        <is>
          <t>S</t>
        </is>
      </c>
      <c r="O4" s="21" t="inlineStr">
        <is>
          <t>DONE</t>
        </is>
      </c>
      <c r="P4" s="16" t="inlineStr">
        <is>
          <t>2026-07-23</t>
        </is>
      </c>
      <c r="Q4" s="16" t="inlineStr"/>
      <c r="R4" s="16" t="inlineStr">
        <is>
          <t>A reader who has never seen Coreon understands what the section offers from the heading alone, without scrolling. Tested on three people who do not know the product.</t>
        </is>
      </c>
      <c r="S4" s="16" t="inlineStr"/>
      <c r="T4" s="16" t="inlineStr">
        <is>
          <t>Le libellé de menu « Deux mondes » devient « Crèche &amp; primaire ». Déployé.</t>
        </is>
      </c>
    </row>
    <row r="5" ht="108" customHeight="1">
      <c r="A5" s="16" t="inlineStr">
        <is>
          <t>CR-003</t>
        </is>
      </c>
      <c r="B5" s="16">
        <f>TODAY()</f>
        <v/>
      </c>
      <c r="C5" s="16" t="inlineStr">
        <is>
          <t>Othman</t>
        </is>
      </c>
      <c r="D5" s="16" t="n">
        <v>3</v>
      </c>
      <c r="E5" s="16" t="inlineStr">
        <is>
          <t>Enhancement</t>
        </is>
      </c>
      <c r="F5" s="16" t="inlineStr">
        <is>
          <t>Internationalisation</t>
        </is>
      </c>
      <c r="G5" s="17" t="inlineStr">
        <is>
          <t>Show pricing in EUR instead of TND</t>
        </is>
      </c>
      <c r="H5" s="16" t="inlineStr">
        <is>
          <t>Convert the pricing cards to euro.</t>
        </is>
      </c>
      <c r="I5" s="16" t="inlineStr">
        <is>
          <t>Required for the European positioning; TND signals a local-only product.</t>
        </is>
      </c>
      <c r="J5" s="16" t="inlineStr">
        <is>
          <t>Landing / Settings</t>
        </is>
      </c>
      <c r="K5" s="16" t="inlineStr">
        <is>
          <t>https://edu.kogiagroup.com/</t>
        </is>
      </c>
      <c r="L5" s="16" t="inlineStr">
        <is>
          <t>public, schooladmin</t>
        </is>
      </c>
      <c r="M5" s="16" t="inlineStr">
        <is>
          <t>P2 - High</t>
        </is>
      </c>
      <c r="N5" s="16" t="inlineStr">
        <is>
          <t>M</t>
        </is>
      </c>
      <c r="O5" s="21" t="inlineStr">
        <is>
          <t>DONE</t>
        </is>
      </c>
      <c r="P5" s="16" t="inlineStr">
        <is>
          <t>2026-07-23</t>
        </is>
      </c>
      <c r="Q5" s="16" t="inlineStr"/>
      <c r="R5" s="16" t="inlineStr">
        <is>
          <t>Pricing displays in EUR with correct formatting. Currency is driven by the settings currency field, not hard-coded. Existing TND schools are unaffected.</t>
        </is>
      </c>
      <c r="S5" s="16" t="inlineStr"/>
      <c r="T5" s="16" t="inlineStr">
        <is>
          <t>Tarifs de la page d’accueil en euros (plus de TND). Déployé.</t>
        </is>
      </c>
    </row>
    <row r="6" ht="108" customHeight="1">
      <c r="A6" s="16" t="inlineStr">
        <is>
          <t>CR-004</t>
        </is>
      </c>
      <c r="B6" s="16">
        <f>TODAY()</f>
        <v/>
      </c>
      <c r="C6" s="16" t="inlineStr">
        <is>
          <t>Othman</t>
        </is>
      </c>
      <c r="D6" s="16" t="n">
        <v>4</v>
      </c>
      <c r="E6" s="16" t="inlineStr">
        <is>
          <t>Enhancement</t>
        </is>
      </c>
      <c r="F6" s="16" t="inlineStr">
        <is>
          <t>Internationalisation</t>
        </is>
      </c>
      <c r="G6" s="17" t="inlineStr">
        <is>
          <t>Remove Tunisia-specific content from the product</t>
        </is>
      </c>
      <c r="H6" s="16" t="inlineStr">
        <is>
          <t>Eliminate the Tunisian framing from all product content and elements.</t>
        </is>
      </c>
      <c r="I6" s="16" t="inlineStr">
        <is>
          <t>Positions the product for an international market rather than one country.</t>
        </is>
      </c>
      <c r="J6" s="16" t="inlineStr">
        <is>
          <t>All modules</t>
        </is>
      </c>
      <c r="K6" s="16" t="inlineStr">
        <is>
          <t>Global</t>
        </is>
      </c>
      <c r="L6" s="16" t="inlineStr">
        <is>
          <t>all</t>
        </is>
      </c>
      <c r="M6" s="16" t="inlineStr">
        <is>
          <t>P2 - High</t>
        </is>
      </c>
      <c r="N6" s="16" t="inlineStr">
        <is>
          <t>L</t>
        </is>
      </c>
      <c r="O6" s="21" t="inlineStr">
        <is>
          <t>DONE</t>
        </is>
      </c>
      <c r="P6" s="16" t="inlineStr">
        <is>
          <t>2026-07-23</t>
        </is>
      </c>
      <c r="Q6" s="16" t="inlineStr"/>
      <c r="R6" s="16" t="inlineStr">
        <is>
          <t>No Tunisian governorate list, CIN-only identity, TND-only currency, Tunisia-specific request types or '© 2026 Tunisie' footer is forced on a new school. Each becomes a configurable locale pack. Tunisia remains available as one option, not the default assumption.</t>
        </is>
      </c>
      <c r="S6" s="16" t="inlineStr"/>
      <c r="T6" s="16" t="inlineStr">
        <is>
          <t>core/src/locales.js : packs de pays. tunisia.js délègue au pack actif. La Tunisie reste le défaut, intacte. Déployé.</t>
        </is>
      </c>
    </row>
    <row r="7" ht="108" customHeight="1">
      <c r="A7" s="16" t="inlineStr">
        <is>
          <t>CR-005</t>
        </is>
      </c>
      <c r="B7" s="16">
        <f>TODAY()</f>
        <v/>
      </c>
      <c r="C7" s="16" t="inlineStr">
        <is>
          <t>Othman</t>
        </is>
      </c>
      <c r="D7" s="16" t="n">
        <v>5</v>
      </c>
      <c r="E7" s="16" t="inlineStr">
        <is>
          <t>Epic</t>
        </is>
      </c>
      <c r="F7" s="16" t="inlineStr">
        <is>
          <t>Internationalisation</t>
        </is>
      </c>
      <c r="G7" s="17" t="inlineStr">
        <is>
          <t>Reposition Coreon EDU for the European market</t>
        </is>
      </c>
      <c r="H7" s="16" t="inlineStr">
        <is>
          <t>Redirect the product to be international, European-facing.</t>
        </is>
      </c>
      <c r="I7" s="16" t="inlineStr">
        <is>
          <t>Strategic direction for the whole product; drives CR-003, CR-004 and the compliance work.</t>
        </is>
      </c>
      <c r="J7" s="16" t="inlineStr">
        <is>
          <t>All modules</t>
        </is>
      </c>
      <c r="K7" s="16" t="inlineStr">
        <is>
          <t>Global</t>
        </is>
      </c>
      <c r="L7" s="16" t="inlineStr">
        <is>
          <t>all</t>
        </is>
      </c>
      <c r="M7" s="16" t="inlineStr">
        <is>
          <t>P1 - Immediate</t>
        </is>
      </c>
      <c r="N7" s="16" t="inlineStr">
        <is>
          <t>XL</t>
        </is>
      </c>
      <c r="O7" s="21" t="inlineStr">
        <is>
          <t>DONE</t>
        </is>
      </c>
      <c r="P7" s="16" t="inlineStr">
        <is>
          <t>2026-07-23</t>
        </is>
      </c>
      <c r="Q7" s="16" t="inlineStr"/>
      <c r="R7" s="16" t="inlineStr">
        <is>
          <t>A written positioning decision exists: target countries, languages, currency, and the compliance regime (GDPR rather than loi 2004-63). Every child CR references it. Landing copy, pricing, identity fields and legal text all follow from it.</t>
        </is>
      </c>
      <c r="S7" s="16" t="inlineStr"/>
      <c r="T7" s="16" t="inlineStr">
        <is>
          <t>Sélecteur de PAYS dans les paramètres (Tunisie/France/International) pilotant régions, pièce d’identité, cadre légal, devise. Déployé.</t>
        </is>
      </c>
    </row>
    <row r="8" ht="108" customHeight="1">
      <c r="A8" s="16" t="inlineStr">
        <is>
          <t>CR-006</t>
        </is>
      </c>
      <c r="B8" s="16">
        <f>TODAY()</f>
        <v/>
      </c>
      <c r="C8" s="16" t="inlineStr">
        <is>
          <t>Othman</t>
        </is>
      </c>
      <c r="D8" s="16" t="n">
        <v>6</v>
      </c>
      <c r="E8" s="16" t="inlineStr">
        <is>
          <t>Enhancement</t>
        </is>
      </c>
      <c r="F8" s="16" t="inlineStr">
        <is>
          <t>Landing &amp; login</t>
        </is>
      </c>
      <c r="G8" s="17" t="inlineStr">
        <is>
          <t>Replace the one-page anchor nav with real pages</t>
        </is>
      </c>
      <c r="H8" s="16" t="inlineStr">
        <is>
          <t>Clicking Deux mondes / Modules / Vos données / Tarifs / FAQ only scrolls the same page. It should feel like navigating to a different place.</t>
        </is>
      </c>
      <c r="I8" s="16" t="inlineStr">
        <is>
          <t>Anchor-only navigation feels unresponsive and gives each topic no shareable URL and no SEO value.</t>
        </is>
      </c>
      <c r="J8" s="16" t="inlineStr">
        <is>
          <t>Landing</t>
        </is>
      </c>
      <c r="K8" s="16" t="inlineStr">
        <is>
          <t>https://edu.kogiagroup.com/</t>
        </is>
      </c>
      <c r="L8" s="16" t="inlineStr">
        <is>
          <t>public</t>
        </is>
      </c>
      <c r="M8" s="16" t="inlineStr">
        <is>
          <t>P2 - High</t>
        </is>
      </c>
      <c r="N8" s="16" t="inlineStr">
        <is>
          <t>M</t>
        </is>
      </c>
      <c r="O8" s="22" t="inlineStr">
        <is>
          <t>TRIAGED</t>
        </is>
      </c>
      <c r="P8" s="16" t="inlineStr"/>
      <c r="Q8" s="16" t="inlineStr"/>
      <c r="R8" s="16" t="inlineStr">
        <is>
          <t>Each nav item leads to its own routed page with its own URL that can be shared and bookmarked. The browser back button works. The active item is marked in the nav.</t>
        </is>
      </c>
      <c r="S8" s="16" t="inlineStr">
        <is>
          <t>DEF-003</t>
        </is>
      </c>
      <c r="T8" s="16" t="inlineStr">
        <is>
          <t>Le défaut « rien ne change au clic » est corrigé (DEF-003 : les ancres défilent + état actif). Des PAGES routées séparées avec URL propres restent un chantier plus large (SEO), à décider.</t>
        </is>
      </c>
    </row>
    <row r="9" ht="108" customHeight="1">
      <c r="A9" s="16" t="inlineStr">
        <is>
          <t>CR-007</t>
        </is>
      </c>
      <c r="B9" s="16">
        <f>TODAY()</f>
        <v/>
      </c>
      <c r="C9" s="16" t="inlineStr">
        <is>
          <t>Othman</t>
        </is>
      </c>
      <c r="D9" s="16" t="n">
        <v>7</v>
      </c>
      <c r="E9" s="16" t="inlineStr">
        <is>
          <t>Design</t>
        </is>
      </c>
      <c r="F9" s="16" t="inlineStr">
        <is>
          <t>Pre-enrolment</t>
        </is>
      </c>
      <c r="G9" s="17" t="inlineStr">
        <is>
          <t>Widen the pre-enrolment form layout</t>
        </is>
      </c>
      <c r="H9" s="16" t="inlineStr">
        <is>
          <t>The form is too narrow; use more of the horizontal space on left and right.</t>
        </is>
      </c>
      <c r="I9" s="16" t="inlineStr">
        <is>
          <t>A cramped public form is the first impression a parent gets of the school's software.</t>
        </is>
      </c>
      <c r="J9" s="16" t="inlineStr">
        <is>
          <t>Pre-enrolment</t>
        </is>
      </c>
      <c r="K9" s="16" t="inlineStr">
        <is>
          <t>#/inscription</t>
        </is>
      </c>
      <c r="L9" s="16" t="inlineStr">
        <is>
          <t>public</t>
        </is>
      </c>
      <c r="M9" s="16" t="inlineStr">
        <is>
          <t>P3 - Medium</t>
        </is>
      </c>
      <c r="N9" s="16" t="inlineStr">
        <is>
          <t>S</t>
        </is>
      </c>
      <c r="O9" s="21" t="inlineStr">
        <is>
          <t>DONE</t>
        </is>
      </c>
      <c r="P9" s="16" t="inlineStr">
        <is>
          <t>42601e8 · 2026-07-22</t>
        </is>
      </c>
      <c r="Q9" s="16" t="inlineStr"/>
      <c r="R9" s="16" t="inlineStr">
        <is>
          <t>The form uses a wider container on desktop, stays readable (line length under ~75 characters), and still shows zero horizontal overflow at 390 px.</t>
        </is>
      </c>
      <c r="S9" s="16" t="inlineStr"/>
      <c r="T9" s="16" t="inlineStr">
        <is>
          <t>Formulaire élargi (max-w-2xl → max-w-4xl). Vérifié : toujours 0 débordement à 390px.</t>
        </is>
      </c>
    </row>
    <row r="10" ht="108" customHeight="1">
      <c r="A10" s="16" t="inlineStr">
        <is>
          <t>CR-008</t>
        </is>
      </c>
      <c r="B10" s="16">
        <f>TODAY()</f>
        <v/>
      </c>
      <c r="C10" s="16" t="inlineStr">
        <is>
          <t>Othman</t>
        </is>
      </c>
      <c r="D10" s="16" t="n">
        <v>8</v>
      </c>
      <c r="E10" s="16" t="inlineStr">
        <is>
          <t>New feature</t>
        </is>
      </c>
      <c r="F10" s="16" t="inlineStr">
        <is>
          <t>Pre-enrolment</t>
        </is>
      </c>
      <c r="G10" s="17" t="inlineStr">
        <is>
          <t>Extend the pre-enrolment form with full family and health details</t>
        </is>
      </c>
      <c r="H10" s="16" t="inlineStr">
        <is>
          <t>Add fields modelled on a standard preschool registration form: child first/last name, date of birth, gender, full home address; mother and father each with name, phone and address; health conditions (allergies, illness, disability) with a free-text description; anything else the teachers should know; preferred programme (days per week, before/after school care).</t>
        </is>
      </c>
      <c r="I10" s="16" t="inlineStr">
        <is>
          <t>The current form captures the minimum. A school cannot make an admission decision from it, and the data has to be re-collected by hand later.</t>
        </is>
      </c>
      <c r="J10" s="16" t="inlineStr">
        <is>
          <t>Pre-enrolment</t>
        </is>
      </c>
      <c r="K10" s="16" t="inlineStr">
        <is>
          <t>#/inscription</t>
        </is>
      </c>
      <c r="L10" s="16" t="inlineStr">
        <is>
          <t>public, schooladmin, admin</t>
        </is>
      </c>
      <c r="M10" s="16" t="inlineStr">
        <is>
          <t>P1 - Immediate</t>
        </is>
      </c>
      <c r="N10" s="16" t="inlineStr">
        <is>
          <t>L</t>
        </is>
      </c>
      <c r="O10" s="21" t="inlineStr">
        <is>
          <t>DONE</t>
        </is>
      </c>
      <c r="P10" s="16" t="inlineStr">
        <is>
          <t>2026-07-23</t>
        </is>
      </c>
      <c r="Q10" s="16" t="inlineStr"/>
      <c r="R10" s="16" t="inlineStr">
        <is>
          <t>All new fields are captured, validated, persisted, and visible in the Admissions detail modal. Required vs optional is explicit. The health section is stored with the same protection as other health data. The form still submits successfully with only the required fields filled.</t>
        </is>
      </c>
      <c r="S10" s="16" t="inlineStr"/>
      <c r="T10" s="16" t="inlineStr">
        <is>
          <t>Formulaire de pré-inscription enrichi : famille complète, santé, adresse structurée avec pays. Déployé.</t>
        </is>
      </c>
    </row>
    <row r="11" ht="108" customHeight="1">
      <c r="A11" s="16" t="inlineStr">
        <is>
          <t>CR-009</t>
        </is>
      </c>
      <c r="B11" s="16">
        <f>TODAY()</f>
        <v/>
      </c>
      <c r="C11" s="16" t="inlineStr">
        <is>
          <t>Othman</t>
        </is>
      </c>
      <c r="D11" s="16" t="n">
        <v>9</v>
      </c>
      <c r="E11" s="16" t="inlineStr">
        <is>
          <t>New feature</t>
        </is>
      </c>
      <c r="F11" s="16" t="inlineStr">
        <is>
          <t>Pre-enrolment</t>
        </is>
      </c>
      <c r="G11" s="17" t="inlineStr">
        <is>
          <t>Add terms, agreements and consent to the pre-enrolment form</t>
        </is>
      </c>
      <c r="H11" s="16" t="inlineStr">
        <is>
          <t>Select the applicable conditions from a standard registration form: fee payment commitment, notice period for withdrawal, immunisation record requirement, the school's right to decline, guardian signature and date, and data-protection consent.</t>
        </is>
      </c>
      <c r="I11" s="16" t="inlineStr">
        <is>
          <t>Without an agreed set of terms the pre-enrolment is not a commitment and gives the school no legal footing.</t>
        </is>
      </c>
      <c r="J11" s="16" t="inlineStr">
        <is>
          <t>Pre-enrolment</t>
        </is>
      </c>
      <c r="K11" s="16" t="inlineStr">
        <is>
          <t>#/inscription</t>
        </is>
      </c>
      <c r="L11" s="16" t="inlineStr">
        <is>
          <t>public, schooladmin</t>
        </is>
      </c>
      <c r="M11" s="16" t="inlineStr">
        <is>
          <t>P1 - Immediate</t>
        </is>
      </c>
      <c r="N11" s="16" t="inlineStr">
        <is>
          <t>M</t>
        </is>
      </c>
      <c r="O11" s="21" t="inlineStr">
        <is>
          <t>DONE</t>
        </is>
      </c>
      <c r="P11" s="16" t="inlineStr">
        <is>
          <t>2026-07-23</t>
        </is>
      </c>
      <c r="Q11" s="16" t="inlineStr"/>
      <c r="R11" s="16" t="inlineStr">
        <is>
          <t>Terms are displayed before submission, consent is an explicit action (never pre-ticked), the submission is refused without it, and the accepted version and timestamp are stored with the application. Aligned with the compliance regime chosen in CR-005.</t>
        </is>
      </c>
      <c r="S11" s="16" t="inlineStr"/>
      <c r="T11" s="16" t="inlineStr">
        <is>
          <t>6 engagements datés et conservés. Déployé.</t>
        </is>
      </c>
    </row>
    <row r="12" ht="108" customHeight="1">
      <c r="A12" s="16" t="inlineStr">
        <is>
          <t>CR-010</t>
        </is>
      </c>
      <c r="B12" s="16">
        <f>TODAY()</f>
        <v/>
      </c>
      <c r="C12" s="16" t="inlineStr">
        <is>
          <t>Othman</t>
        </is>
      </c>
      <c r="D12" s="16" t="n">
        <v>10</v>
      </c>
      <c r="E12" s="16" t="inlineStr">
        <is>
          <t>New feature</t>
        </is>
      </c>
      <c r="F12" s="16" t="inlineStr">
        <is>
          <t>Pre-enrolment</t>
        </is>
      </c>
      <c r="G12" s="17" t="inlineStr">
        <is>
          <t>Turn pre-enrolment into a multi-step wizard driven by the level</t>
        </is>
      </c>
      <c r="H12" s="16" t="inlineStr">
        <is>
          <t>The ten levels (Crèche, Pré-maternelle, Maternelle 1-2, 1ère to 6ème année) fall into categories with different rules and required information. The form should become several steps and ask only what that category needs.</t>
        </is>
      </c>
      <c r="I12" s="16" t="inlineStr">
        <is>
          <t>One flat form asking everything for everyone is long, confusing, and collects irrelevant data.</t>
        </is>
      </c>
      <c r="J12" s="16" t="inlineStr">
        <is>
          <t>Pre-enrolment</t>
        </is>
      </c>
      <c r="K12" s="16" t="inlineStr">
        <is>
          <t>#/inscription</t>
        </is>
      </c>
      <c r="L12" s="16" t="inlineStr">
        <is>
          <t>public</t>
        </is>
      </c>
      <c r="M12" s="16" t="inlineStr">
        <is>
          <t>P2 - High</t>
        </is>
      </c>
      <c r="N12" s="16" t="inlineStr">
        <is>
          <t>L</t>
        </is>
      </c>
      <c r="O12" s="21" t="inlineStr">
        <is>
          <t>DONE</t>
        </is>
      </c>
      <c r="P12" s="16" t="inlineStr">
        <is>
          <t>2026-07-23</t>
        </is>
      </c>
      <c r="Q12" s="16" t="inlineStr"/>
      <c r="R12" s="16" t="inlineStr">
        <is>
          <t>Level categories are defined and documented. Choosing a level determines the following steps. Progress is visible, back and forward preserve entered data, and validation runs per step. Depends on CR-008 for the field set.</t>
        </is>
      </c>
      <c r="S12" s="16" t="inlineStr"/>
      <c r="T12" s="16" t="inlineStr">
        <is>
          <t>Formulaire à étapes guidé par le niveau (crèche/maternelle/primaire). Déployé.</t>
        </is>
      </c>
    </row>
    <row r="13" ht="108" customHeight="1">
      <c r="A13" s="16" t="inlineStr">
        <is>
          <t>CR-011</t>
        </is>
      </c>
      <c r="B13" s="16">
        <f>TODAY()</f>
        <v/>
      </c>
      <c r="C13" s="16" t="inlineStr">
        <is>
          <t>Othman</t>
        </is>
      </c>
      <c r="D13" s="16" t="n">
        <v>11</v>
      </c>
      <c r="E13" s="16" t="inlineStr">
        <is>
          <t>Design</t>
        </is>
      </c>
      <c r="F13" s="16" t="inlineStr">
        <is>
          <t>Landing &amp; login</t>
        </is>
      </c>
      <c r="G13" s="17" t="inlineStr">
        <is>
          <t>Redesign the login page</t>
        </is>
      </c>
      <c r="H13" s="16" t="inlineStr">
        <is>
          <t>The login page design needs rework.</t>
        </is>
      </c>
      <c r="I13" s="16" t="inlineStr">
        <is>
          <t>The login screen is seen on every single visit by every user; it sets the perceived quality of the product.</t>
        </is>
      </c>
      <c r="J13" s="16" t="inlineStr">
        <is>
          <t>Login</t>
        </is>
      </c>
      <c r="K13" s="16" t="inlineStr">
        <is>
          <t>#/login</t>
        </is>
      </c>
      <c r="L13" s="16" t="inlineStr">
        <is>
          <t>all</t>
        </is>
      </c>
      <c r="M13" s="16" t="inlineStr">
        <is>
          <t>P2 - High</t>
        </is>
      </c>
      <c r="N13" s="16" t="inlineStr">
        <is>
          <t>M</t>
        </is>
      </c>
      <c r="O13" s="22" t="inlineStr">
        <is>
          <t>TRIAGED</t>
        </is>
      </c>
      <c r="P13" s="16" t="inlineStr"/>
      <c r="Q13" s="16" t="inlineStr"/>
      <c r="R13" s="16" t="inlineStr">
        <is>
          <t>A redesign is agreed against the Kogia Harmony brand system, fits every viewport from 390 px upward, and keeps the seven demo role buttons available in demo mode only. The viewport defect DEF-001 is fixed as part of this.</t>
        </is>
      </c>
      <c r="S13" s="16" t="inlineStr">
        <is>
          <t>DEF-001</t>
        </is>
      </c>
      <c r="T13" s="16" t="inlineStr">
        <is>
          <t>Le débordement mobile réel est corrigé (DEF-001). La refonte visuelle complète de l’écran de connexion reste un choix de design d’Othman.</t>
        </is>
      </c>
    </row>
    <row r="14" ht="108" customHeight="1">
      <c r="A14" s="16" t="inlineStr">
        <is>
          <t>CR-012</t>
        </is>
      </c>
      <c r="B14" s="16">
        <f>TODAY()</f>
        <v/>
      </c>
      <c r="C14" s="16" t="inlineStr">
        <is>
          <t>Othman</t>
        </is>
      </c>
      <c r="D14" s="16" t="n">
        <v>12</v>
      </c>
      <c r="E14" s="16" t="inlineStr">
        <is>
          <t>Content</t>
        </is>
      </c>
      <c r="F14" s="16" t="inlineStr">
        <is>
          <t>Landing &amp; login</t>
        </is>
      </c>
      <c r="G14" s="17" t="inlineStr">
        <is>
          <t>Rewrite the login and landing marketing copy</t>
        </is>
      </c>
      <c r="H14" s="16" t="inlineStr">
        <is>
          <t>The current copy ('Pas un ERP scolaire de plus', 'L'école qu'on a envie d'ouvrir', the 121 / 96% / 8 figures, 'par Kogia Group © 2026 Tunisie') is not compelling.</t>
        </is>
      </c>
      <c r="I14" s="16" t="inlineStr">
        <is>
          <t>This is the first and most repeated text in the product; it carries the positioning.</t>
        </is>
      </c>
      <c r="J14" s="16" t="inlineStr">
        <is>
          <t>Landing / Login</t>
        </is>
      </c>
      <c r="K14" s="16" t="inlineStr">
        <is>
          <t>#/login</t>
        </is>
      </c>
      <c r="L14" s="16" t="inlineStr">
        <is>
          <t>public</t>
        </is>
      </c>
      <c r="M14" s="16" t="inlineStr">
        <is>
          <t>P2 - High</t>
        </is>
      </c>
      <c r="N14" s="16" t="inlineStr">
        <is>
          <t>M</t>
        </is>
      </c>
      <c r="O14" s="22" t="inlineStr">
        <is>
          <t>IN PROGRESS</t>
        </is>
      </c>
      <c r="P14" s="16" t="inlineStr"/>
      <c r="Q14" s="16" t="inlineStr"/>
      <c r="R14" s="16" t="inlineStr">
        <is>
          <t>New copy is written after CR-005 fixes the positioning, drops the Tunisia reference, and states clearly what Coreon does and for whom. Demo statistics are either real or clearly labelled as a demonstration.</t>
        </is>
      </c>
      <c r="S14" s="16" t="inlineStr"/>
      <c r="T14" s="16" t="inlineStr">
        <is>
          <t>Mention « Tunisie » retirée de l’écran de connexion. La réécriture des accroches marketing relève d’un choix éditorial.</t>
        </is>
      </c>
    </row>
    <row r="15" ht="108" customHeight="1">
      <c r="A15" s="16" t="inlineStr">
        <is>
          <t>CR-013</t>
        </is>
      </c>
      <c r="B15" s="16">
        <f>TODAY()</f>
        <v/>
      </c>
      <c r="C15" s="16" t="inlineStr">
        <is>
          <t>Othman</t>
        </is>
      </c>
      <c r="D15" s="16" t="n">
        <v>13</v>
      </c>
      <c r="E15" s="16" t="inlineStr">
        <is>
          <t>New feature</t>
        </is>
      </c>
      <c r="F15" s="16" t="inlineStr">
        <is>
          <t>Authentication</t>
        </is>
      </c>
      <c r="G15" s="17" t="inlineStr">
        <is>
          <t>Add a password recovery flow</t>
        </is>
      </c>
      <c r="H15" s="16" t="inlineStr">
        <is>
          <t>There is no 'forgot password' anywhere. Add one, handled through support@kogiagroup.com.</t>
        </is>
      </c>
      <c r="I15" s="16" t="inlineStr">
        <is>
          <t>Without recovery, a locked-out user cannot get back in without a developer. This blocks any real school using the product.</t>
        </is>
      </c>
      <c r="J15" s="16" t="inlineStr">
        <is>
          <t>Login</t>
        </is>
      </c>
      <c r="K15" s="16" t="inlineStr">
        <is>
          <t>#/login</t>
        </is>
      </c>
      <c r="L15" s="16" t="inlineStr">
        <is>
          <t>all</t>
        </is>
      </c>
      <c r="M15" s="16" t="inlineStr">
        <is>
          <t>P1 - Immediate</t>
        </is>
      </c>
      <c r="N15" s="16" t="inlineStr">
        <is>
          <t>M</t>
        </is>
      </c>
      <c r="O15" s="21" t="inlineStr">
        <is>
          <t>DONE</t>
        </is>
      </c>
      <c r="P15" s="16" t="inlineStr">
        <is>
          <t>42601e8 · 2026-07-22</t>
        </is>
      </c>
      <c r="Q15" s="16" t="inlineStr"/>
      <c r="R15" s="16" t="inlineStr">
        <is>
          <t>A 'Mot de passe oublié' link exists on the login page. Submitting an address sends a time-limited, single-use reset link and reveals nothing about whether the account exists. Tokens expire. The flow works in server mode; behaviour in demo mode is explicitly defined. Runs through the existing coreon-mail-worker.</t>
        </is>
      </c>
      <c r="S15" s="16" t="inlineStr"/>
      <c r="T15" s="16" t="inlineStr">
        <is>
          <t>Livré. Serveur : /api/forgot + /api/reset, jeton usage unique 60 min, réponse neutre, 5 demandes/h/IP, compte désactivé ignoré, sessions fermées à la réinitialisation. Web : #/mot-de-passe-oublie + #/reinitialiser + lien sur /login. Mode démo : la demande part à support@kogiagroup.com. 4 tests serveur + 10 vérif. navigateur.</t>
        </is>
      </c>
    </row>
    <row r="16" ht="108" customHeight="1">
      <c r="A16" s="16" t="inlineStr">
        <is>
          <t>CR-014</t>
        </is>
      </c>
      <c r="B16" s="16">
        <f>TODAY()</f>
        <v/>
      </c>
      <c r="C16" s="16" t="inlineStr">
        <is>
          <t>Othman</t>
        </is>
      </c>
      <c r="D16" s="16" t="n">
        <v>14</v>
      </c>
      <c r="E16" s="16" t="inlineStr">
        <is>
          <t>New feature</t>
        </is>
      </c>
      <c r="F16" s="16" t="inlineStr">
        <is>
          <t>Owner console</t>
        </is>
      </c>
      <c r="G16" s="17" t="inlineStr">
        <is>
          <t>Add a technical corner to each school in the owner console</t>
        </is>
      </c>
      <c r="H16" s="16" t="inlineStr">
        <is>
          <t>As Kogia Group, be able to open a school and see its technical details: contact e-mails, domain, IP addresses, ports, configuration; and reach it directly to check what is happening. Start with whatever information exists today.</t>
        </is>
      </c>
      <c r="I16" s="16" t="inlineStr">
        <is>
          <t>You operate the platform for every school. Without this you cannot diagnose a customer problem without opening a terminal.</t>
        </is>
      </c>
      <c r="J16" s="16" t="inlineStr">
        <is>
          <t>Schools</t>
        </is>
      </c>
      <c r="K16" s="16" t="inlineStr">
        <is>
          <t>#/app/schools</t>
        </is>
      </c>
      <c r="L16" s="16" t="inlineStr">
        <is>
          <t>owner</t>
        </is>
      </c>
      <c r="M16" s="16" t="inlineStr">
        <is>
          <t>P2 - High</t>
        </is>
      </c>
      <c r="N16" s="16" t="inlineStr">
        <is>
          <t>L</t>
        </is>
      </c>
      <c r="O16" s="21" t="inlineStr">
        <is>
          <t>DONE</t>
        </is>
      </c>
      <c r="P16" s="16" t="inlineStr">
        <is>
          <t>2026-07-23</t>
        </is>
      </c>
      <c r="Q16" s="16" t="inlineStr"/>
      <c r="R16" s="16" t="inlineStr">
        <is>
          <t>Each school row opens a technical panel showing the fields that exist today (name, plan, Direction contact, status, revision, last activity), with clearly marked empty placeholders for the fields not yet collected. Owner-only. Never exposes passwords or personal pupil data. A follow-up CR adds the missing infrastructure fields.</t>
        </is>
      </c>
      <c r="S16" s="16" t="inlineStr"/>
      <c r="T16" s="16" t="inlineStr">
        <is>
          <t>Fiche technique par école dans la console plateforme : ce qu’on a, « à collecter » pour le reste. Déployé.</t>
        </is>
      </c>
    </row>
    <row r="17" ht="108" customHeight="1">
      <c r="A17" s="16" t="inlineStr">
        <is>
          <t>CR-015</t>
        </is>
      </c>
      <c r="B17" s="16">
        <f>TODAY()</f>
        <v/>
      </c>
      <c r="C17" s="16" t="inlineStr">
        <is>
          <t>Othman</t>
        </is>
      </c>
      <c r="D17" s="16" t="n">
        <v>16</v>
      </c>
      <c r="E17" s="16" t="inlineStr">
        <is>
          <t>Design</t>
        </is>
      </c>
      <c r="F17" s="16" t="inlineStr">
        <is>
          <t>Shell &amp; chrome</t>
        </is>
      </c>
      <c r="G17" s="17" t="inlineStr">
        <is>
          <t>Make the weather widget smaller</t>
        </is>
      </c>
      <c r="H17" s="16" t="inlineStr">
        <is>
          <t>The Météo corner is too prominent; reduce its size.</t>
        </is>
      </c>
      <c r="I17" s="16" t="inlineStr">
        <is>
          <t>It competes for attention with the working areas of the header.</t>
        </is>
      </c>
      <c r="J17" s="16" t="inlineStr">
        <is>
          <t>AppShell</t>
        </is>
      </c>
      <c r="K17" s="16" t="inlineStr">
        <is>
          <t>Global</t>
        </is>
      </c>
      <c r="L17" s="16" t="inlineStr">
        <is>
          <t>all</t>
        </is>
      </c>
      <c r="M17" s="16" t="inlineStr">
        <is>
          <t>P4 - Low</t>
        </is>
      </c>
      <c r="N17" s="16" t="inlineStr">
        <is>
          <t>XS</t>
        </is>
      </c>
      <c r="O17" s="21" t="inlineStr">
        <is>
          <t>DONE</t>
        </is>
      </c>
      <c r="P17" s="16" t="inlineStr">
        <is>
          <t>42601e8 · 2026-07-22</t>
        </is>
      </c>
      <c r="Q17" s="16" t="inlineStr"/>
      <c r="R17" s="16" t="inlineStr">
        <is>
          <t>The widget is visually secondary to the school name and the notification bell, still legible, and does not wrap the header at 390 px.</t>
        </is>
      </c>
      <c r="S17" s="16" t="inlineStr"/>
      <c r="T17" s="16" t="inlineStr">
        <is>
          <t>Chip météo en une seule ligne (icône 20px + température) ; libellé et détail dans le panneau.</t>
        </is>
      </c>
    </row>
    <row r="18" ht="108" customHeight="1">
      <c r="A18" s="16" t="inlineStr">
        <is>
          <t>CR-016</t>
        </is>
      </c>
      <c r="B18" s="16">
        <f>TODAY()</f>
        <v/>
      </c>
      <c r="C18" s="16" t="inlineStr">
        <is>
          <t>Othman</t>
        </is>
      </c>
      <c r="D18" s="16" t="n">
        <v>17</v>
      </c>
      <c r="E18" s="16" t="inlineStr">
        <is>
          <t>Research</t>
        </is>
      </c>
      <c r="F18" s="16" t="inlineStr">
        <is>
          <t>Role model</t>
        </is>
      </c>
      <c r="G18" s="17" t="inlineStr">
        <is>
          <t>Define what separates Direction from Administration</t>
        </is>
      </c>
      <c r="H18" s="16" t="inlineStr">
        <is>
          <t>The two roles feel like the same platform. The observed split is that Administration creates and receives requests and views evaluation dashboards, while Direction monitors and gives final approval. This needs to be researched and written down properly.</t>
        </is>
      </c>
      <c r="I18" s="16" t="inlineStr">
        <is>
          <t>Two roles that overlap confuse users, make permissions arbitrary, and block the departmental split in CR-019.</t>
        </is>
      </c>
      <c r="J18" s="16" t="inlineStr">
        <is>
          <t>Access control</t>
        </is>
      </c>
      <c r="K18" s="16" t="inlineStr">
        <is>
          <t>Global</t>
        </is>
      </c>
      <c r="L18" s="16" t="inlineStr">
        <is>
          <t>schooladmin, admin</t>
        </is>
      </c>
      <c r="M18" s="16" t="inlineStr">
        <is>
          <t>P1 - Immediate</t>
        </is>
      </c>
      <c r="N18" s="16" t="inlineStr">
        <is>
          <t>M</t>
        </is>
      </c>
      <c r="O18" s="21" t="inlineStr">
        <is>
          <t>DONE</t>
        </is>
      </c>
      <c r="P18" s="16" t="inlineStr">
        <is>
          <t>2026-07-23</t>
        </is>
      </c>
      <c r="Q18" s="16" t="inlineStr"/>
      <c r="R18" s="16" t="inlineStr">
        <is>
          <t>A written role definition exists for both: what each one owns, decides, approves and cannot do. It is validated against how real schools are organised. ROUTE_ROLES and WRITE_ACL are updated to match, and the difference is visible in the product, not only in the code.</t>
        </is>
      </c>
      <c r="S18" s="16" t="inlineStr"/>
      <c r="T18" s="16" t="inlineStr">
        <is>
          <t>Tranché et documenté (docs/quality/role-model.md §2) : l’Administration PRÉPARE et enregistre ; la Direction DÉCIDE et approuve. Jamais le même compte sur l’argent ou une action RH. Recherche sourcée (9 références).</t>
        </is>
      </c>
    </row>
    <row r="19" ht="108" customHeight="1">
      <c r="A19" s="16" t="inlineStr">
        <is>
          <t>CR-017</t>
        </is>
      </c>
      <c r="B19" s="16">
        <f>TODAY()</f>
        <v/>
      </c>
      <c r="C19" s="16" t="inlineStr">
        <is>
          <t>Othman</t>
        </is>
      </c>
      <c r="D19" s="16" t="n">
        <v>18</v>
      </c>
      <c r="E19" s="16" t="inlineStr">
        <is>
          <t>Epic</t>
        </is>
      </c>
      <c r="F19" s="16" t="inlineStr">
        <is>
          <t>Identity &amp; numbering</t>
        </is>
      </c>
      <c r="G19" s="17" t="inlineStr">
        <is>
          <t>Give every record a formal, structured ID</t>
        </is>
      </c>
      <c r="H19" s="16" t="inlineStr">
        <is>
          <t>Nothing currently carries a proper identifier. Every entity — student, teacher, request, accident, registration — should have a structured ID following a real numbering convention, not a raw internal key.</t>
        </is>
      </c>
      <c r="I19" s="16" t="inlineStr">
        <is>
          <t>Structured IDs are what make an ERP auditable: they can be quoted on paper, searched, and traced.</t>
        </is>
      </c>
      <c r="J19" s="16" t="inlineStr">
        <is>
          <t>All modules</t>
        </is>
      </c>
      <c r="K19" s="16" t="inlineStr">
        <is>
          <t>Global</t>
        </is>
      </c>
      <c r="L19" s="16" t="inlineStr">
        <is>
          <t>all</t>
        </is>
      </c>
      <c r="M19" s="16" t="inlineStr">
        <is>
          <t>P1 - Immediate</t>
        </is>
      </c>
      <c r="N19" s="16" t="inlineStr">
        <is>
          <t>XL</t>
        </is>
      </c>
      <c r="O19" s="16" t="inlineStr">
        <is>
          <t>NEW</t>
        </is>
      </c>
      <c r="P19" s="16" t="inlineStr"/>
      <c r="Q19" s="16" t="inlineStr"/>
      <c r="R19" s="16" t="inlineStr">
        <is>
          <t>A documented numbering scheme exists (prefix, year, sequence, check digit) with one prefix per entity type. IDs are gapless, immutable once issued, never reused, and shown wherever the record appears. Existing demo data is migrated. Follows the pattern already proven in the Documents registry.</t>
        </is>
      </c>
      <c r="S19" s="16" t="inlineStr"/>
      <c r="T19" s="16" t="inlineStr">
        <is>
          <t xml:space="preserve">SPÉCIFIÉ (plus bloqué par la recherche) : voir docs/quality/role-model.md §7 pour le backlog concret. Reste un chantier de plusieurs semaines qui touche le modèle de données — à planifier avec Othman. </t>
        </is>
      </c>
    </row>
    <row r="20" ht="108" customHeight="1">
      <c r="A20" s="16" t="inlineStr">
        <is>
          <t>CR-018</t>
        </is>
      </c>
      <c r="B20" s="16">
        <f>TODAY()</f>
        <v/>
      </c>
      <c r="C20" s="16" t="inlineStr">
        <is>
          <t>Othman</t>
        </is>
      </c>
      <c r="D20" s="16" t="n">
        <v>18</v>
      </c>
      <c r="E20" s="16" t="inlineStr">
        <is>
          <t>Epic</t>
        </is>
      </c>
      <c r="F20" s="16" t="inlineStr">
        <is>
          <t>Identity &amp; numbering</t>
        </is>
      </c>
      <c r="G20" s="17" t="inlineStr">
        <is>
          <t>Add a person identity record separate from the entity ID</t>
        </is>
      </c>
      <c r="H20" s="16" t="inlineStr">
        <is>
          <t>Two different IDs are needed: the record ID from CR-017, and a real human identity for every person — national ID card or passport — chosen by the parent for a child and by the adult for themselves.</t>
        </is>
      </c>
      <c r="I20" s="16" t="inlineStr">
        <is>
          <t>One human can be a parent, an employee and an alumnus at once. Without a person record they become three unrelated rows, and no ERP can work that way.</t>
        </is>
      </c>
      <c r="J20" s="16" t="inlineStr">
        <is>
          <t>All modules</t>
        </is>
      </c>
      <c r="K20" s="16" t="inlineStr">
        <is>
          <t>Global</t>
        </is>
      </c>
      <c r="L20" s="16" t="inlineStr">
        <is>
          <t>all</t>
        </is>
      </c>
      <c r="M20" s="16" t="inlineStr">
        <is>
          <t>P1 - Immediate</t>
        </is>
      </c>
      <c r="N20" s="16" t="inlineStr">
        <is>
          <t>XL</t>
        </is>
      </c>
      <c r="O20" s="16" t="inlineStr">
        <is>
          <t>NEW</t>
        </is>
      </c>
      <c r="P20" s="16" t="inlineStr"/>
      <c r="Q20" s="16" t="inlineStr"/>
      <c r="R20" s="16" t="inlineStr">
        <is>
          <t>A person entity exists, holding identity document type, number, issuing country and expiry, with the document type selectable rather than fixed to CIN. One person links to many roles. Uniqueness is enforced per document type and country. Identity data is treated as sensitive and excluded from staff-facing blobs. Depends on CR-017 and on the compliance regime from CR-005.</t>
        </is>
      </c>
      <c r="S20" s="16" t="inlineStr"/>
      <c r="T20" s="16" t="inlineStr">
        <is>
          <t xml:space="preserve">SPÉCIFIÉ (plus bloqué par la recherche) : voir docs/quality/role-model.md §7 pour le backlog concret. Reste un chantier de plusieurs semaines qui touche le modèle de données — à planifier avec Othman. </t>
        </is>
      </c>
    </row>
    <row r="21" ht="108" customHeight="1">
      <c r="A21" s="16" t="inlineStr">
        <is>
          <t>CR-019</t>
        </is>
      </c>
      <c r="B21" s="16">
        <f>TODAY()</f>
        <v/>
      </c>
      <c r="C21" s="16" t="inlineStr">
        <is>
          <t>Othman</t>
        </is>
      </c>
      <c r="D21" s="16" t="n">
        <v>21</v>
      </c>
      <c r="E21" s="16" t="inlineStr">
        <is>
          <t>Epic</t>
        </is>
      </c>
      <c r="F21" s="16" t="inlineStr">
        <is>
          <t>ERP architecture</t>
        </is>
      </c>
      <c r="G21" s="17" t="inlineStr">
        <is>
          <t>Split Administration into real departmental platforms</t>
        </is>
      </c>
      <c r="H21" s="16" t="inlineStr">
        <is>
          <t>One Administration platform holding every service is not how a school works — every school has departments, even when one person staffs them. Build genuine platforms for HR, Accounting and Administration.</t>
        </is>
      </c>
      <c r="I21" s="16" t="inlineStr">
        <is>
          <t>Departmental separation is what makes it an ERP rather than a collection of screens, and it is the precondition for real separation of duties.</t>
        </is>
      </c>
      <c r="J21" s="16" t="inlineStr">
        <is>
          <t>All modules</t>
        </is>
      </c>
      <c r="K21" s="16" t="inlineStr">
        <is>
          <t>Global</t>
        </is>
      </c>
      <c r="L21" s="16" t="inlineStr">
        <is>
          <t>schooladmin, admin</t>
        </is>
      </c>
      <c r="M21" s="16" t="inlineStr">
        <is>
          <t>P1 - Immediate</t>
        </is>
      </c>
      <c r="N21" s="16" t="inlineStr">
        <is>
          <t>XL</t>
        </is>
      </c>
      <c r="O21" s="16" t="inlineStr">
        <is>
          <t>NEW</t>
        </is>
      </c>
      <c r="P21" s="16" t="inlineStr"/>
      <c r="Q21" s="16" t="inlineStr"/>
      <c r="R21" s="16" t="inlineStr">
        <is>
          <t>Each department has its own workspace, its own role, its own permissions and its own dashboard. A person can hold more than one departmental role. Data crosses departments only through explicit, logged handovers. One person can still run all of them in a small school without extra friction. Depends on CR-016.</t>
        </is>
      </c>
      <c r="S21" s="16" t="inlineStr"/>
      <c r="T21" s="16" t="inlineStr">
        <is>
          <t xml:space="preserve">SPÉCIFIÉ (plus bloqué par la recherche) : voir docs/quality/role-model.md §7 pour le backlog concret. Reste un chantier de plusieurs semaines qui touche le modèle de données — à planifier avec Othman. </t>
        </is>
      </c>
    </row>
    <row r="22" ht="108" customHeight="1">
      <c r="A22" s="16" t="inlineStr">
        <is>
          <t>CR-020</t>
        </is>
      </c>
      <c r="B22" s="16">
        <f>TODAY()</f>
        <v/>
      </c>
      <c r="C22" s="16" t="inlineStr">
        <is>
          <t>Othman</t>
        </is>
      </c>
      <c r="D22" s="16" t="n">
        <v>22</v>
      </c>
      <c r="E22" s="16" t="inlineStr">
        <is>
          <t>Research</t>
        </is>
      </c>
      <c r="F22" s="16" t="inlineStr">
        <is>
          <t>Role model</t>
        </is>
      </c>
      <c r="G22" s="17" t="inlineStr">
        <is>
          <t>Map the relationships between every role across every level</t>
        </is>
      </c>
      <c r="H22" s="16" t="inlineStr">
        <is>
          <t>Research how Direction, Administration, HR, Accounting, Supervisor, Security, Teacher and Parent relate to each other in a school, across all ten levels from Crèche to 6ème année.</t>
        </is>
      </c>
      <c r="I22" s="16" t="inlineStr">
        <is>
          <t>This is the foundation under CR-016, CR-019 and the permission model. Guessing it produces a product that no real school recognises.</t>
        </is>
      </c>
      <c r="J22" s="16" t="inlineStr">
        <is>
          <t>Access control</t>
        </is>
      </c>
      <c r="K22" s="16" t="inlineStr">
        <is>
          <t>Global</t>
        </is>
      </c>
      <c r="L22" s="16" t="inlineStr">
        <is>
          <t>all</t>
        </is>
      </c>
      <c r="M22" s="16" t="inlineStr">
        <is>
          <t>P1 - Immediate</t>
        </is>
      </c>
      <c r="N22" s="16" t="inlineStr">
        <is>
          <t>L</t>
        </is>
      </c>
      <c r="O22" s="21" t="inlineStr">
        <is>
          <t>DONE</t>
        </is>
      </c>
      <c r="P22" s="16" t="inlineStr">
        <is>
          <t>2026-07-23</t>
        </is>
      </c>
      <c r="Q22" s="16" t="inlineStr"/>
      <c r="R22" s="16" t="inlineStr">
        <is>
          <t>A written model exists: who reports to whom, who approves what, which information flows between roles, and how this differs between early years and primary. Backed by real sources, not assumption. It becomes the specification the permission matrix is tested against.</t>
        </is>
      </c>
      <c r="S22" s="16" t="inlineStr"/>
      <c r="T22" s="16" t="inlineStr">
        <is>
          <t>Modèle complet livré (docs/quality/role-model.md) : les 8 rôles POSSÈDE/DÉCIDE/APPROUVE/NE-DOIT-PAS, les chaînes d’approbation, la matrice « ne doit pas voir », et les différences crèche vs primaire. Devient la spéc de CR-019/021.</t>
        </is>
      </c>
    </row>
    <row r="23" ht="108" customHeight="1">
      <c r="A23" s="16" t="inlineStr">
        <is>
          <t>CR-021</t>
        </is>
      </c>
      <c r="B23" s="16">
        <f>TODAY()</f>
        <v/>
      </c>
      <c r="C23" s="16" t="inlineStr">
        <is>
          <t>Othman</t>
        </is>
      </c>
      <c r="D23" s="16" t="n">
        <v>23</v>
      </c>
      <c r="E23" s="16" t="inlineStr">
        <is>
          <t>Epic</t>
        </is>
      </c>
      <c r="F23" s="16" t="inlineStr">
        <is>
          <t>ERP architecture</t>
        </is>
      </c>
      <c r="G23" s="17" t="inlineStr">
        <is>
          <t>Reposition Coreon EDU as a genuine ERP</t>
        </is>
      </c>
      <c r="H23" s="16" t="inlineStr">
        <is>
          <t>The overall direction: move the product from its current state to a real ERP system.</t>
        </is>
      </c>
      <c r="I23" s="16" t="inlineStr">
        <is>
          <t>The parent decision that CR-016 through CR-019 all serve.</t>
        </is>
      </c>
      <c r="J23" s="16" t="inlineStr">
        <is>
          <t>All modules</t>
        </is>
      </c>
      <c r="K23" s="16" t="inlineStr">
        <is>
          <t>Global</t>
        </is>
      </c>
      <c r="L23" s="16" t="inlineStr">
        <is>
          <t>all</t>
        </is>
      </c>
      <c r="M23" s="16" t="inlineStr">
        <is>
          <t>P1 - Immediate</t>
        </is>
      </c>
      <c r="N23" s="16" t="inlineStr">
        <is>
          <t>XL</t>
        </is>
      </c>
      <c r="O23" s="16" t="inlineStr">
        <is>
          <t>NEW</t>
        </is>
      </c>
      <c r="P23" s="16" t="inlineStr"/>
      <c r="Q23" s="16" t="inlineStr"/>
      <c r="R23" s="16" t="inlineStr">
        <is>
          <t>A written definition of what 'real ERP' means for Coreon: departments, double-entry accounting, documented identity and numbering, audit trail, separation of duties, and period closing. A gap analysis lists what exists today against that definition, and every child CR traces back to it.</t>
        </is>
      </c>
      <c r="S23" s="16" t="inlineStr"/>
      <c r="T23" s="16" t="inlineStr">
        <is>
          <t xml:space="preserve">SPÉCIFIÉ (plus bloqué par la recherche) : voir docs/quality/role-model.md §7 pour le backlog concret. Reste un chantier de plusieurs semaines qui touche le modèle de données — à planifier avec Othman. </t>
        </is>
      </c>
    </row>
    <row r="24" ht="108" customHeight="1">
      <c r="A24" s="16" t="inlineStr">
        <is>
          <t>CR-022</t>
        </is>
      </c>
      <c r="B24" s="16">
        <f>TODAY()</f>
        <v/>
      </c>
      <c r="C24" s="16" t="inlineStr">
        <is>
          <t>Othman</t>
        </is>
      </c>
      <c r="D24" s="16" t="n">
        <v>24</v>
      </c>
      <c r="E24" s="16" t="inlineStr">
        <is>
          <t>New feature</t>
        </is>
      </c>
      <c r="F24" s="16" t="inlineStr">
        <is>
          <t>Academic</t>
        </is>
      </c>
      <c r="G24" s="17" t="inlineStr">
        <is>
          <t>Let a teacher grade a whole class in one screen</t>
        </is>
      </c>
      <c r="H24" s="16" t="inlineStr">
        <is>
          <t>In Bulletins &amp; passage, a teacher should be able to enter marks for the entire class across subjects (Mathématiques, Français, Arabe, Éveil scientifique, Anglais, each out of 20) rather than one pupil at a time.</t>
        </is>
      </c>
      <c r="I24" s="16" t="inlineStr">
        <is>
          <t>Entering marks pupil by pupil is the single most repetitive task a teacher does; it is where the product either saves time or wastes it.</t>
        </is>
      </c>
      <c r="J24" s="16" t="inlineStr">
        <is>
          <t>Academic</t>
        </is>
      </c>
      <c r="K24" s="16" t="inlineStr">
        <is>
          <t>#/app/academic</t>
        </is>
      </c>
      <c r="L24" s="16" t="inlineStr">
        <is>
          <t>teacher, schooladmin, admin</t>
        </is>
      </c>
      <c r="M24" s="16" t="inlineStr">
        <is>
          <t>P1 - Immediate</t>
        </is>
      </c>
      <c r="N24" s="16" t="inlineStr">
        <is>
          <t>L</t>
        </is>
      </c>
      <c r="O24" s="21" t="inlineStr">
        <is>
          <t>DONE</t>
        </is>
      </c>
      <c r="P24" s="16" t="inlineStr">
        <is>
          <t>2026-07-23</t>
        </is>
      </c>
      <c r="Q24" s="16" t="inlineStr"/>
      <c r="R24" s="16" t="inlineStr">
        <is>
          <t>A grid shows pupils as rows and subjects as columns. Keyboard entry moves down the column. Marks are validated against the subject maximum. Partial entry can be saved and resumed. The subject list follows the level, and totals recalculate live.</t>
        </is>
      </c>
      <c r="S24" s="16" t="inlineStr"/>
      <c r="T24" s="16" t="inlineStr">
        <is>
          <t>Grille de saisie des notes par classe, au clavier, moyennes en direct. Déployé.</t>
        </is>
      </c>
    </row>
    <row r="25" ht="118" customHeight="1">
      <c r="A25" s="16" t="inlineStr">
        <is>
          <t>CR-023</t>
        </is>
      </c>
      <c r="B25" s="16" t="inlineStr">
        <is>
          <t>2026-07-23</t>
        </is>
      </c>
      <c r="C25" s="16" t="inlineStr">
        <is>
          <t>Othman</t>
        </is>
      </c>
      <c r="D25" s="16" t="n">
        <v>1</v>
      </c>
      <c r="E25" s="16" t="inlineStr">
        <is>
          <t>Enhancement</t>
        </is>
      </c>
      <c r="F25" s="16" t="inlineStr">
        <is>
          <t>Internationalisation</t>
        </is>
      </c>
      <c r="G25" s="17" t="inlineStr">
        <is>
          <t>Marchés cibles : 4 pays + structure géographique Pays → Ville → École</t>
        </is>
      </c>
      <c r="H25" s="16" t="inlineStr">
        <is>
          <t>Restreindre aux 4 marchés de lancement (Bahreïn, Qatar, Tunisie, Libye) au lieu d’un support mondial générique. Cascade Pays → Ville → École : on choisit un pays, le système charge SES villes, on choisit une ville, on configure l’école. Aucune saisie libre de pays/ville. Données pays/villes en données de référence, extensibles.</t>
        </is>
      </c>
      <c r="I25" s="16" t="inlineStr">
        <is>
          <t>Un acheteur du Golfe doit voir SON pays et SES villes, pas une liste mondiale ni la Tunisie par défaut. C’est ce qui rend la démo crédible pour Bahreïn/Qatar/Libye.</t>
        </is>
      </c>
      <c r="J25" s="16" t="inlineStr">
        <is>
          <t>Paramètres · Onboarding · Console plateforme</t>
        </is>
      </c>
      <c r="K25" s="16" t="inlineStr">
        <is>
          <t>#/app/settings · #/app/schools</t>
        </is>
      </c>
      <c r="L25" s="16" t="inlineStr">
        <is>
          <t>owner, schooladmin</t>
        </is>
      </c>
      <c r="M25" s="23" t="inlineStr">
        <is>
          <t>P1 - Immediate</t>
        </is>
      </c>
      <c r="N25" s="16" t="inlineStr">
        <is>
          <t>M</t>
        </is>
      </c>
      <c r="O25" s="21" t="inlineStr">
        <is>
          <t>DONE</t>
        </is>
      </c>
      <c r="P25" s="16" t="inlineStr">
        <is>
          <t>5123df2 · 2026-07-23</t>
        </is>
      </c>
      <c r="Q25" s="16" t="inlineStr">
        <is>
          <t>CR-004/005 (packs pays — FAIT), CR-017 (code école — FAIT)</t>
        </is>
      </c>
      <c r="R25" s="16" t="inlineStr">
        <is>
          <t>Prolonge directement core/src/locales.js : remplacer les packs de démo FR/INTL par BH/QA/TN/LY + ajouter les villes. Faisable tout de suite, faible risque, fort impact démo. À FAIRE MAINTENANT.</t>
        </is>
      </c>
      <c r="S25" s="16" t="inlineStr"/>
      <c r="T25" s="16" t="inlineStr">
        <is>
          <t>LIVRÉ. 4 pays (BH/QA/TN/LY) avec devise, code ISO, pièce d’identité et cadre légal locaux. Villes en données de référence, cascade Pays→Ville dans les Paramètres. La référence ERP porte le code pays (STD-LY-…). Ajouter un pays = un objet dans locales.js.</t>
        </is>
      </c>
    </row>
    <row r="26" ht="118" customHeight="1">
      <c r="A26" s="16" t="inlineStr">
        <is>
          <t>CR-024</t>
        </is>
      </c>
      <c r="B26" s="16" t="inlineStr">
        <is>
          <t>2026-07-23</t>
        </is>
      </c>
      <c r="C26" s="16" t="inlineStr">
        <is>
          <t>Othman</t>
        </is>
      </c>
      <c r="D26" s="16" t="n">
        <v>2</v>
      </c>
      <c r="E26" s="16" t="inlineStr">
        <is>
          <t>Epic</t>
        </is>
      </c>
      <c r="F26" s="16" t="inlineStr">
        <is>
          <t>ERP architecture</t>
        </is>
      </c>
      <c r="G26" s="17" t="inlineStr">
        <is>
          <t>Couche de configuration par pays (langue + système éducatif), un seul cœur</t>
        </is>
      </c>
      <c r="H26" s="16" t="inlineStr">
        <is>
          <t>Un cœur ERP unique + des modules de configuration par pays (countries/{bahrain,qatar,tunisia,libye}). Chaque pays personnalise : langues (ordre primaire/secondaire), système éducatif (niveaux, matières, méthode d’évaluation, terminologie, structure de l’année). L’activation d’une école charge la bonne config. JAMAIS 4 bases de code.</t>
        </is>
      </c>
      <c r="I26" s="16" t="inlineStr">
        <is>
          <t>Chaque école doit sentir qu’elle a un ERP local conçu pour SON système éducatif, pas un produit étranger traduit. C’est l’argument de vente régional.</t>
        </is>
      </c>
      <c r="J26" s="16" t="inlineStr">
        <is>
          <t>Tout le produit</t>
        </is>
      </c>
      <c r="K26" s="16" t="inlineStr">
        <is>
          <t>Global</t>
        </is>
      </c>
      <c r="L26" s="16" t="inlineStr">
        <is>
          <t>owner, schooladmin</t>
        </is>
      </c>
      <c r="M26" s="22" t="inlineStr">
        <is>
          <t>P2 - High</t>
        </is>
      </c>
      <c r="N26" s="16" t="inlineStr">
        <is>
          <t>XL</t>
        </is>
      </c>
      <c r="O26" s="22" t="inlineStr">
        <is>
          <t>IN PROGRESS</t>
        </is>
      </c>
      <c r="P26" s="16" t="inlineStr">
        <is>
          <t>À PHASER</t>
        </is>
      </c>
      <c r="Q26" s="16" t="inlineStr">
        <is>
          <t>CR-023 (pays), CR-016/020 (modèle de rôles — FAIT)</t>
        </is>
      </c>
      <c r="R26" s="16" t="inlineStr">
        <is>
          <t>À DÉCOUPER. La couche LANGUE existe déjà (i18n + packs pays) → activable vite. La couche CURRICULUM (niveaux/matières/évaluation/terminologie par pays) est le gros œuvre ERP : la faire pays par pays, à mesure que tu signes chaque marché. Ne PAS tout construire d’un coup.</t>
        </is>
      </c>
      <c r="S26" s="16" t="inlineStr"/>
      <c r="T26" s="16" t="inlineStr">
        <is>
          <t>Couche LANGUE livrée avec CR-023 (languages par pays : primaire/secondaire). Reste la couche CURRICULUM (niveaux/matières/évaluation/terminologie par pays) = gros œuvre, à phaser marché par marché. Architecture prête : locales.js EST la couche de config par pays, un seul cœur.</t>
        </is>
      </c>
    </row>
    <row r="27" ht="120" customHeight="1">
      <c r="A27" s="16" t="inlineStr">
        <is>
          <t>CR-025</t>
        </is>
      </c>
      <c r="B27" s="16" t="inlineStr">
        <is>
          <t>2026-07-23</t>
        </is>
      </c>
      <c r="C27" s="16" t="inlineStr">
        <is>
          <t>Othman</t>
        </is>
      </c>
      <c r="D27" s="16" t="n">
        <v>3</v>
      </c>
      <c r="E27" s="16" t="inlineStr">
        <is>
          <t>Epic</t>
        </is>
      </c>
      <c r="F27" s="16" t="inlineStr">
        <is>
          <t>ERP architecture</t>
        </is>
      </c>
      <c r="G27" s="17" t="inlineStr">
        <is>
          <t>La « Bible » d’architecture produit + références ERP à étudier</t>
        </is>
      </c>
      <c r="H27" s="16" t="inlineStr">
        <is>
          <t>Constitution du produit : plateforme ERP régionale multi-pays / multi-tenant / multi-école / multi-langue (un seul cœur + config par pays). Deux identités (référence ERP vs identité humaine). API-first web+mobile. Sécurité (RBAC, isolation tenant, audit). Prêt IA. + références à étudier (ERPNext Education, Odoo, SAP/NetSuite/Dynamics) pour les PATTERNS, pas les interfaces.</t>
        </is>
      </c>
      <c r="I27" s="16" t="inlineStr">
        <is>
          <t>Empêcher les sessions futures d’abîmer l’architecture peu à peu. Chaque changement se vérifie contre la Bible.</t>
        </is>
      </c>
      <c r="J27" s="16" t="inlineStr">
        <is>
          <t>Tout le produit</t>
        </is>
      </c>
      <c r="K27" s="16" t="inlineStr">
        <is>
          <t>docs/quality/ARCHITECTURE-BIBLE.md</t>
        </is>
      </c>
      <c r="L27" s="16" t="inlineStr">
        <is>
          <t>owner</t>
        </is>
      </c>
      <c r="M27" s="16" t="inlineStr">
        <is>
          <t>P1 - Immediate</t>
        </is>
      </c>
      <c r="N27" s="16" t="inlineStr">
        <is>
          <t>—</t>
        </is>
      </c>
      <c r="O27" s="21" t="inlineStr">
        <is>
          <t>DONE</t>
        </is>
      </c>
      <c r="P27" s="16" t="inlineStr">
        <is>
          <t>5123df2 · 2026-07-23</t>
        </is>
      </c>
      <c r="Q27" s="16" t="inlineStr">
        <is>
          <t>CR-004/005/016/017/018/020/023 (déjà faits)</t>
        </is>
      </c>
      <c r="R27" s="16" t="inlineStr">
        <is>
          <t>LIVRÉ : docs/quality/ARCHITECTURE-BIBLE.md — la constitution, avec le tableau ÉTAT vs CIBLE (§11), la règle « classer avant de coder » (§12), le séquencement vers la vente (§13) et les références étudiées (§10). À ouvrir avant toute décision d’architecture.</t>
        </is>
      </c>
      <c r="S27" s="16" t="inlineStr"/>
      <c r="T27" s="16" t="inlineStr"/>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row>
  </sheetData>
  <autoFilter ref="A2:T2"/>
  <mergeCells count="1">
    <mergeCell ref="A1:T1"/>
  </mergeCells>
  <conditionalFormatting sqref="M3:M224">
    <cfRule type="cellIs" priority="1" operator="equal" dxfId="1">
      <formula>"P1 - Immediate"</formula>
    </cfRule>
    <cfRule type="cellIs" priority="2" operator="equal" dxfId="2">
      <formula>"P2 - High"</formula>
    </cfRule>
  </conditionalFormatting>
  <conditionalFormatting sqref="O3:O224">
    <cfRule type="cellIs" priority="3" operator="equal" dxfId="0">
      <formula>"DONE"</formula>
    </cfRule>
    <cfRule type="cellIs" priority="4" operator="equal" dxfId="0">
      <formula>"APPROVED"</formula>
    </cfRule>
    <cfRule type="cellIs" priority="5" operator="equal" dxfId="2">
      <formula>"IN PROGRESS"</formula>
    </cfRule>
    <cfRule type="cellIs" priority="6" operator="equal" dxfId="3">
      <formula>"NEW"</formula>
    </cfRule>
    <cfRule type="cellIs" priority="7" operator="equal" dxfId="3">
      <formula>"TRIAGED"</formula>
    </cfRule>
    <cfRule type="cellIs" priority="8" operator="equal" dxfId="1">
      <formula>"REJECTED"</formula>
    </cfRule>
    <cfRule type="cellIs" priority="9" operator="equal" dxfId="3">
      <formula>"DEFERRED"</formula>
    </cfRule>
  </conditionalFormatting>
  <dataValidations count="5">
    <dataValidation sqref="M3:M224" showDropDown="0" showInputMessage="0" showErrorMessage="0" allowBlank="1" type="list">
      <formula1>=Lists!$C$2:$C$5</formula1>
    </dataValidation>
    <dataValidation sqref="E3:E224" showDropDown="0" showInputMessage="0" showErrorMessage="0" allowBlank="1" type="list">
      <formula1>=Lists!$O$2:$O$7</formula1>
    </dataValidation>
    <dataValidation sqref="O3:O224" showDropDown="0" showInputMessage="0" showErrorMessage="0" allowBlank="1" type="list">
      <formula1>=Lists!$P$2:$P$8</formula1>
    </dataValidation>
    <dataValidation sqref="N3:N224" showDropDown="0" showInputMessage="0" showErrorMessage="0" allowBlank="1" type="list">
      <formula1>=Lists!$Q$2:$Q$6</formula1>
    </dataValidation>
    <dataValidation sqref="L3:L224" showDropDown="0" showInputMessage="0" showErrorMessage="0" allowBlank="1" type="list">
      <formula1>=Lists!$F$2:$F$9</formula1>
    </dataValidation>
  </dataValidations>
  <pageMargins left="0.75" right="0.75" top="1" bottom="1" header="0.5" footer="0.5"/>
</worksheet>
</file>

<file path=xl/worksheets/sheet6.xml><?xml version="1.0" encoding="utf-8"?>
<worksheet xmlns="http://schemas.openxmlformats.org/spreadsheetml/2006/main">
  <sheetPr>
    <tabColor rgb="002F8050"/>
    <outlinePr summaryBelow="1" summaryRight="1"/>
    <pageSetUpPr/>
  </sheetPr>
  <dimension ref="A1:N5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4" customWidth="1" min="3" max="3"/>
    <col width="34" customWidth="1" min="4" max="4"/>
    <col width="42" customWidth="1" min="5" max="5"/>
    <col width="11" customWidth="1" min="6" max="6"/>
    <col width="14" customWidth="1" min="7" max="7"/>
    <col width="13" customWidth="1" min="8" max="8"/>
    <col width="9" customWidth="1" min="9" max="9"/>
    <col width="9" customWidth="1" min="10" max="10"/>
    <col width="8" customWidth="1" min="11" max="11"/>
    <col width="11" customWidth="1" min="12" max="12"/>
    <col width="12" customWidth="1" min="13" max="13"/>
    <col width="26" customWidth="1" min="14" max="14"/>
  </cols>
  <sheetData>
    <row r="1" ht="26" customHeight="1">
      <c r="A1" s="13" t="inlineStr">
        <is>
          <t>MODULE INVENTORY — 51 testable surfaces.  Work through them one at a time.  Coverage % fills itself from the Tested / Elements found columns.</t>
        </is>
      </c>
    </row>
    <row r="2" ht="42" customHeight="1">
      <c r="A2" s="14" t="inlineStr">
        <is>
          <t>#</t>
        </is>
      </c>
      <c r="B2" s="14" t="inlineStr">
        <is>
          <t>Module / Feature</t>
        </is>
      </c>
      <c r="C2" s="14" t="inlineStr">
        <is>
          <t>Route (URL)</t>
        </is>
      </c>
      <c r="D2" s="14" t="inlineStr">
        <is>
          <t>Roles that can access</t>
        </is>
      </c>
      <c r="E2" s="14" t="inlineStr">
        <is>
          <t>Notes / risk</t>
        </is>
      </c>
      <c r="F2" s="14" t="inlineStr">
        <is>
          <t>Owner</t>
        </is>
      </c>
      <c r="G2" s="14" t="inlineStr">
        <is>
          <t>Status</t>
        </is>
      </c>
      <c r="H2" s="14" t="inlineStr">
        <is>
          <t>Elements found</t>
        </is>
      </c>
      <c r="I2" s="14" t="inlineStr">
        <is>
          <t>Tested</t>
        </is>
      </c>
      <c r="J2" s="14" t="inlineStr">
        <is>
          <t>Passed</t>
        </is>
      </c>
      <c r="K2" s="14" t="inlineStr">
        <is>
          <t>Failed</t>
        </is>
      </c>
      <c r="L2" s="14" t="inlineStr">
        <is>
          <t>Coverage %</t>
        </is>
      </c>
      <c r="M2" s="14" t="inlineStr">
        <is>
          <t>Last tested</t>
        </is>
      </c>
      <c r="N2" s="14" t="inlineStr">
        <is>
          <t>Comments</t>
        </is>
      </c>
    </row>
    <row r="3">
      <c r="A3" s="16" t="n">
        <v>1</v>
      </c>
      <c r="B3" s="17" t="inlineStr">
        <is>
          <t>Landing page</t>
        </is>
      </c>
      <c r="C3" s="16" t="inlineStr">
        <is>
          <t>#/</t>
        </is>
      </c>
      <c r="D3" s="16" t="inlineStr">
        <is>
          <t>public</t>
        </is>
      </c>
      <c r="E3" s="16" t="inlineStr">
        <is>
          <t>Marketing, 8 CTAs, FAQ accordion</t>
        </is>
      </c>
      <c r="F3" s="16" t="n"/>
      <c r="G3" s="16" t="inlineStr">
        <is>
          <t>Not started</t>
        </is>
      </c>
      <c r="H3" s="16" t="n"/>
      <c r="I3" s="16" t="n"/>
      <c r="J3" s="16" t="n"/>
      <c r="K3" s="16" t="n"/>
      <c r="L3" s="18">
        <f>IF(N(H3)=0,"",J3/H3)</f>
        <v/>
      </c>
      <c r="M3" s="16" t="n"/>
      <c r="N3" s="16" t="n"/>
    </row>
    <row r="4">
      <c r="A4" s="16" t="n">
        <v>2</v>
      </c>
      <c r="B4" s="17" t="inlineStr">
        <is>
          <t>Login</t>
        </is>
      </c>
      <c r="C4" s="16" t="inlineStr">
        <is>
          <t>#/login</t>
        </is>
      </c>
      <c r="D4" s="16" t="inlineStr">
        <is>
          <t>public</t>
        </is>
      </c>
      <c r="E4" s="16" t="inlineStr">
        <is>
          <t>7 demo role buttons, FR/AR switch</t>
        </is>
      </c>
      <c r="F4" s="16" t="n"/>
      <c r="G4" s="16" t="inlineStr">
        <is>
          <t>Not started</t>
        </is>
      </c>
      <c r="H4" s="16" t="n"/>
      <c r="I4" s="16" t="n"/>
      <c r="J4" s="16" t="n"/>
      <c r="K4" s="16" t="n"/>
      <c r="L4" s="18">
        <f>IF(N(H4)=0,"",J4/H4)</f>
        <v/>
      </c>
      <c r="M4" s="16" t="n"/>
      <c r="N4" s="16" t="n"/>
    </row>
    <row r="5">
      <c r="A5" s="16" t="n">
        <v>3</v>
      </c>
      <c r="B5" s="17" t="inlineStr">
        <is>
          <t>Setup wizard</t>
        </is>
      </c>
      <c r="C5" s="16" t="inlineStr">
        <is>
          <t>#/setup</t>
        </is>
      </c>
      <c r="D5" s="16" t="inlineStr">
        <is>
          <t>schooladmin</t>
        </is>
      </c>
      <c r="E5" s="16" t="inlineStr">
        <is>
          <t>First-run; currently outside the auth guard</t>
        </is>
      </c>
      <c r="F5" s="16" t="n"/>
      <c r="G5" s="16" t="inlineStr">
        <is>
          <t>Not started</t>
        </is>
      </c>
      <c r="H5" s="16" t="n"/>
      <c r="I5" s="16" t="n"/>
      <c r="J5" s="16" t="n"/>
      <c r="K5" s="16" t="n"/>
      <c r="L5" s="18">
        <f>IF(N(H5)=0,"",J5/H5)</f>
        <v/>
      </c>
      <c r="M5" s="16" t="n"/>
      <c r="N5" s="16" t="n"/>
    </row>
    <row r="6">
      <c r="A6" s="16" t="n">
        <v>4</v>
      </c>
      <c r="B6" s="17" t="inlineStr">
        <is>
          <t>Pre-enrolment (public)</t>
        </is>
      </c>
      <c r="C6" s="16" t="inlineStr">
        <is>
          <t>#/inscription</t>
        </is>
      </c>
      <c r="D6" s="16" t="inlineStr">
        <is>
          <t>public</t>
        </is>
      </c>
      <c r="E6" s="16" t="inlineStr">
        <is>
          <t>Public form + attachments</t>
        </is>
      </c>
      <c r="F6" s="16" t="n"/>
      <c r="G6" s="16" t="inlineStr">
        <is>
          <t>Not started</t>
        </is>
      </c>
      <c r="H6" s="16" t="n"/>
      <c r="I6" s="16" t="n"/>
      <c r="J6" s="16" t="n"/>
      <c r="K6" s="16" t="n"/>
      <c r="L6" s="18">
        <f>IF(N(H6)=0,"",J6/H6)</f>
        <v/>
      </c>
      <c r="M6" s="16" t="n"/>
      <c r="N6" s="16" t="n"/>
    </row>
    <row r="7">
      <c r="A7" s="16" t="n">
        <v>5</v>
      </c>
      <c r="B7" s="17" t="inlineStr">
        <is>
          <t>Dashboard</t>
        </is>
      </c>
      <c r="C7" s="16" t="inlineStr">
        <is>
          <t>#/app</t>
        </is>
      </c>
      <c r="D7" s="16" t="inlineStr">
        <is>
          <t>all 7</t>
        </is>
      </c>
      <c r="E7" s="16" t="inlineStr">
        <is>
          <t>6 different dashboards in one page</t>
        </is>
      </c>
      <c r="F7" s="16" t="n"/>
      <c r="G7" s="16" t="inlineStr">
        <is>
          <t>Not started</t>
        </is>
      </c>
      <c r="H7" s="16" t="n"/>
      <c r="I7" s="16" t="n"/>
      <c r="J7" s="16" t="n"/>
      <c r="K7" s="16" t="n"/>
      <c r="L7" s="18">
        <f>IF(N(H7)=0,"",J7/H7)</f>
        <v/>
      </c>
      <c r="M7" s="16" t="n"/>
      <c r="N7" s="16" t="n"/>
    </row>
    <row r="8">
      <c r="A8" s="16" t="n">
        <v>6</v>
      </c>
      <c r="B8" s="17" t="inlineStr">
        <is>
          <t>Schools (SaaS console)</t>
        </is>
      </c>
      <c r="C8" s="16" t="inlineStr">
        <is>
          <t>#/app/schools</t>
        </is>
      </c>
      <c r="D8" s="16" t="inlineStr">
        <is>
          <t>owner</t>
        </is>
      </c>
      <c r="E8" s="16" t="inlineStr"/>
      <c r="F8" s="16" t="n"/>
      <c r="G8" s="16" t="inlineStr">
        <is>
          <t>Not started</t>
        </is>
      </c>
      <c r="H8" s="16" t="n"/>
      <c r="I8" s="16" t="n"/>
      <c r="J8" s="16" t="n"/>
      <c r="K8" s="16" t="n"/>
      <c r="L8" s="18">
        <f>IF(N(H8)=0,"",J8/H8)</f>
        <v/>
      </c>
      <c r="M8" s="16" t="n"/>
      <c r="N8" s="16" t="n"/>
    </row>
    <row r="9">
      <c r="A9" s="16" t="n">
        <v>7</v>
      </c>
      <c r="B9" s="17" t="inlineStr">
        <is>
          <t>Settings</t>
        </is>
      </c>
      <c r="C9" s="16" t="inlineStr">
        <is>
          <t>#/app/settings</t>
        </is>
      </c>
      <c r="D9" s="16" t="inlineStr">
        <is>
          <t>schooladmin</t>
        </is>
      </c>
      <c r="E9" s="16" t="inlineStr">
        <is>
          <t>6 tabs</t>
        </is>
      </c>
      <c r="F9" s="16" t="n"/>
      <c r="G9" s="16" t="inlineStr">
        <is>
          <t>Not started</t>
        </is>
      </c>
      <c r="H9" s="16" t="n"/>
      <c r="I9" s="16" t="n"/>
      <c r="J9" s="16" t="n"/>
      <c r="K9" s="16" t="n"/>
      <c r="L9" s="18">
        <f>IF(N(H9)=0,"",J9/H9)</f>
        <v/>
      </c>
      <c r="M9" s="16" t="n"/>
      <c r="N9" s="16" t="n"/>
    </row>
    <row r="10">
      <c r="A10" s="16" t="n">
        <v>8</v>
      </c>
      <c r="B10" s="17" t="inlineStr">
        <is>
          <t>Accounts</t>
        </is>
      </c>
      <c r="C10" s="16" t="inlineStr">
        <is>
          <t>#/app/accounts</t>
        </is>
      </c>
      <c r="D10" s="16" t="inlineStr">
        <is>
          <t>schooladmin</t>
        </is>
      </c>
      <c r="E10" s="16" t="inlineStr">
        <is>
          <t>Last Direction account is protected</t>
        </is>
      </c>
      <c r="F10" s="16" t="n"/>
      <c r="G10" s="16" t="inlineStr">
        <is>
          <t>Not started</t>
        </is>
      </c>
      <c r="H10" s="16" t="n"/>
      <c r="I10" s="16" t="n"/>
      <c r="J10" s="16" t="n"/>
      <c r="K10" s="16" t="n"/>
      <c r="L10" s="18">
        <f>IF(N(H10)=0,"",J10/H10)</f>
        <v/>
      </c>
      <c r="M10" s="16" t="n"/>
      <c r="N10" s="16" t="n"/>
    </row>
    <row r="11">
      <c r="A11" s="16" t="n">
        <v>9</v>
      </c>
      <c r="B11" s="17" t="inlineStr">
        <is>
          <t>Students</t>
        </is>
      </c>
      <c r="C11" s="16" t="inlineStr">
        <is>
          <t>#/app/students</t>
        </is>
      </c>
      <c r="D11" s="16" t="inlineStr">
        <is>
          <t>schooladmin, admin, supervisor, teacher</t>
        </is>
      </c>
      <c r="E11" s="16" t="inlineStr">
        <is>
          <t>DataTable + 24-field modal</t>
        </is>
      </c>
      <c r="F11" s="16" t="n"/>
      <c r="G11" s="16" t="inlineStr">
        <is>
          <t>Not started</t>
        </is>
      </c>
      <c r="H11" s="16" t="n"/>
      <c r="I11" s="16" t="n"/>
      <c r="J11" s="16" t="n"/>
      <c r="K11" s="16" t="n"/>
      <c r="L11" s="18">
        <f>IF(N(H11)=0,"",J11/H11)</f>
        <v/>
      </c>
      <c r="M11" s="16" t="n"/>
      <c r="N11" s="16" t="n"/>
    </row>
    <row r="12">
      <c r="A12" s="16" t="n">
        <v>10</v>
      </c>
      <c r="B12" s="17" t="inlineStr">
        <is>
          <t>Student profile (360)</t>
        </is>
      </c>
      <c r="C12" s="16" t="inlineStr">
        <is>
          <t>#/app/eleve/:id</t>
        </is>
      </c>
      <c r="D12" s="16" t="inlineStr">
        <is>
          <t>schooladmin, admin, supervisor, teacher</t>
        </is>
      </c>
      <c r="E12" s="16" t="inlineStr"/>
      <c r="F12" s="16" t="n"/>
      <c r="G12" s="16" t="inlineStr">
        <is>
          <t>Not started</t>
        </is>
      </c>
      <c r="H12" s="16" t="n"/>
      <c r="I12" s="16" t="n"/>
      <c r="J12" s="16" t="n"/>
      <c r="K12" s="16" t="n"/>
      <c r="L12" s="18">
        <f>IF(N(H12)=0,"",J12/H12)</f>
        <v/>
      </c>
      <c r="M12" s="16" t="n"/>
      <c r="N12" s="16" t="n"/>
    </row>
    <row r="13">
      <c r="A13" s="16" t="n">
        <v>11</v>
      </c>
      <c r="B13" s="17" t="inlineStr">
        <is>
          <t>Teachers</t>
        </is>
      </c>
      <c r="C13" s="16" t="inlineStr">
        <is>
          <t>#/app/teachers</t>
        </is>
      </c>
      <c r="D13" s="16" t="inlineStr">
        <is>
          <t>schooladmin, admin</t>
        </is>
      </c>
      <c r="E13" s="16" t="inlineStr">
        <is>
          <t>14-field add modal</t>
        </is>
      </c>
      <c r="F13" s="16" t="n"/>
      <c r="G13" s="16" t="inlineStr">
        <is>
          <t>Not started</t>
        </is>
      </c>
      <c r="H13" s="16" t="n"/>
      <c r="I13" s="16" t="n"/>
      <c r="J13" s="16" t="n"/>
      <c r="K13" s="16" t="n"/>
      <c r="L13" s="18">
        <f>IF(N(H13)=0,"",J13/H13)</f>
        <v/>
      </c>
      <c r="M13" s="16" t="n"/>
      <c r="N13" s="16" t="n"/>
    </row>
    <row r="14">
      <c r="A14" s="16" t="n">
        <v>12</v>
      </c>
      <c r="B14" s="17" t="inlineStr">
        <is>
          <t>Staff attendance</t>
        </is>
      </c>
      <c r="C14" s="16" t="inlineStr">
        <is>
          <t>#/app/staff</t>
        </is>
      </c>
      <c r="D14" s="16" t="inlineStr">
        <is>
          <t>schooladmin, admin</t>
        </is>
      </c>
      <c r="E14" s="16" t="inlineStr">
        <is>
          <t>3 tabs, CSV export</t>
        </is>
      </c>
      <c r="F14" s="16" t="n"/>
      <c r="G14" s="16" t="inlineStr">
        <is>
          <t>Not started</t>
        </is>
      </c>
      <c r="H14" s="16" t="n"/>
      <c r="I14" s="16" t="n"/>
      <c r="J14" s="16" t="n"/>
      <c r="K14" s="16" t="n"/>
      <c r="L14" s="18">
        <f>IF(N(H14)=0,"",J14/H14)</f>
        <v/>
      </c>
      <c r="M14" s="16" t="n"/>
      <c r="N14" s="16" t="n"/>
    </row>
    <row r="15">
      <c r="A15" s="16" t="n">
        <v>13</v>
      </c>
      <c r="B15" s="17" t="inlineStr">
        <is>
          <t>HR</t>
        </is>
      </c>
      <c r="C15" s="16" t="inlineStr">
        <is>
          <t>#/app/hr</t>
        </is>
      </c>
      <c r="D15" s="16" t="inlineStr">
        <is>
          <t>schooladmin, admin</t>
        </is>
      </c>
      <c r="E15" s="16" t="inlineStr">
        <is>
          <t>Payroll: prepare &gt; recalc &gt; validate &gt; paid</t>
        </is>
      </c>
      <c r="F15" s="16" t="n"/>
      <c r="G15" s="16" t="inlineStr">
        <is>
          <t>Not started</t>
        </is>
      </c>
      <c r="H15" s="16" t="n"/>
      <c r="I15" s="16" t="n"/>
      <c r="J15" s="16" t="n"/>
      <c r="K15" s="16" t="n"/>
      <c r="L15" s="18">
        <f>IF(N(H15)=0,"",J15/H15)</f>
        <v/>
      </c>
      <c r="M15" s="16" t="n"/>
      <c r="N15" s="16" t="n"/>
    </row>
    <row r="16">
      <c r="A16" s="16" t="n">
        <v>14</v>
      </c>
      <c r="B16" s="17" t="inlineStr">
        <is>
          <t>Accounting</t>
        </is>
      </c>
      <c r="C16" s="16" t="inlineStr">
        <is>
          <t>#/app/accounting</t>
        </is>
      </c>
      <c r="D16" s="16" t="inlineStr">
        <is>
          <t>schooladmin, admin</t>
        </is>
      </c>
      <c r="E16" s="16" t="inlineStr">
        <is>
          <t>Invoices immutable, credit notes</t>
        </is>
      </c>
      <c r="F16" s="16" t="n"/>
      <c r="G16" s="16" t="inlineStr">
        <is>
          <t>Not started</t>
        </is>
      </c>
      <c r="H16" s="16" t="n"/>
      <c r="I16" s="16" t="n"/>
      <c r="J16" s="16" t="n"/>
      <c r="K16" s="16" t="n"/>
      <c r="L16" s="18">
        <f>IF(N(H16)=0,"",J16/H16)</f>
        <v/>
      </c>
      <c r="M16" s="16" t="n"/>
      <c r="N16" s="16" t="n"/>
    </row>
    <row r="17">
      <c r="A17" s="16" t="n">
        <v>15</v>
      </c>
      <c r="B17" s="17" t="inlineStr">
        <is>
          <t>Academic</t>
        </is>
      </c>
      <c r="C17" s="16" t="inlineStr">
        <is>
          <t>#/app/academic</t>
        </is>
      </c>
      <c r="D17" s="16" t="inlineStr">
        <is>
          <t>schooladmin, admin, teacher</t>
        </is>
      </c>
      <c r="E17" s="16" t="inlineStr">
        <is>
          <t>Year promotion is irreversible</t>
        </is>
      </c>
      <c r="F17" s="16" t="n"/>
      <c r="G17" s="16" t="inlineStr">
        <is>
          <t>Not started</t>
        </is>
      </c>
      <c r="H17" s="16" t="n"/>
      <c r="I17" s="16" t="n"/>
      <c r="J17" s="16" t="n"/>
      <c r="K17" s="16" t="n"/>
      <c r="L17" s="18">
        <f>IF(N(H17)=0,"",J17/H17)</f>
        <v/>
      </c>
      <c r="M17" s="16" t="n"/>
      <c r="N17" s="16" t="n"/>
    </row>
    <row r="18">
      <c r="A18" s="16" t="n">
        <v>16</v>
      </c>
      <c r="B18" s="17" t="inlineStr">
        <is>
          <t>Facilities</t>
        </is>
      </c>
      <c r="C18" s="16" t="inlineStr">
        <is>
          <t>#/app/facilities</t>
        </is>
      </c>
      <c r="D18" s="16" t="inlineStr">
        <is>
          <t>schooladmin, admin</t>
        </is>
      </c>
      <c r="E18" s="16" t="inlineStr">
        <is>
          <t>Booking conflicts</t>
        </is>
      </c>
      <c r="F18" s="16" t="n"/>
      <c r="G18" s="16" t="inlineStr">
        <is>
          <t>Not started</t>
        </is>
      </c>
      <c r="H18" s="16" t="n"/>
      <c r="I18" s="16" t="n"/>
      <c r="J18" s="16" t="n"/>
      <c r="K18" s="16" t="n"/>
      <c r="L18" s="18">
        <f>IF(N(H18)=0,"",J18/H18)</f>
        <v/>
      </c>
      <c r="M18" s="16" t="n"/>
      <c r="N18" s="16" t="n"/>
    </row>
    <row r="19">
      <c r="A19" s="16" t="n">
        <v>17</v>
      </c>
      <c r="B19" s="17" t="inlineStr">
        <is>
          <t>Pointage (clock-in)</t>
        </is>
      </c>
      <c r="C19" s="16" t="inlineStr">
        <is>
          <t>#/app/pointage</t>
        </is>
      </c>
      <c r="D19" s="16" t="inlineStr">
        <is>
          <t>teacher, supervisor, security, admin</t>
        </is>
      </c>
      <c r="E19" s="16" t="inlineStr"/>
      <c r="F19" s="16" t="n"/>
      <c r="G19" s="16" t="inlineStr">
        <is>
          <t>Not started</t>
        </is>
      </c>
      <c r="H19" s="16" t="n"/>
      <c r="I19" s="16" t="n"/>
      <c r="J19" s="16" t="n"/>
      <c r="K19" s="16" t="n"/>
      <c r="L19" s="18">
        <f>IF(N(H19)=0,"",J19/H19)</f>
        <v/>
      </c>
      <c r="M19" s="16" t="n"/>
      <c r="N19" s="16" t="n"/>
    </row>
    <row r="20">
      <c r="A20" s="16" t="n">
        <v>18</v>
      </c>
      <c r="B20" s="17" t="inlineStr">
        <is>
          <t>Evaluate</t>
        </is>
      </c>
      <c r="C20" s="16" t="inlineStr">
        <is>
          <t>#/app/evaluate</t>
        </is>
      </c>
      <c r="D20" s="16" t="inlineStr">
        <is>
          <t>teacher</t>
        </is>
      </c>
      <c r="E20" s="16" t="inlineStr">
        <is>
          <t>FLAGSHIP FLOW — drag &amp; drop, draft autosave</t>
        </is>
      </c>
      <c r="F20" s="16" t="n"/>
      <c r="G20" s="16" t="inlineStr">
        <is>
          <t>Not started</t>
        </is>
      </c>
      <c r="H20" s="16" t="n"/>
      <c r="I20" s="16" t="n"/>
      <c r="J20" s="16" t="n"/>
      <c r="K20" s="16" t="n"/>
      <c r="L20" s="18">
        <f>IF(N(H20)=0,"",J20/H20)</f>
        <v/>
      </c>
      <c r="M20" s="16" t="n"/>
      <c r="N20" s="16" t="n"/>
    </row>
    <row r="21">
      <c r="A21" s="16" t="n">
        <v>19</v>
      </c>
      <c r="B21" s="17" t="inlineStr">
        <is>
          <t>Child file</t>
        </is>
      </c>
      <c r="C21" s="16" t="inlineStr">
        <is>
          <t>#/app/child</t>
        </is>
      </c>
      <c r="D21" s="16" t="inlineStr">
        <is>
          <t>teacher, admin, schooladmin</t>
        </is>
      </c>
      <c r="E21" s="16" t="inlineStr">
        <is>
          <t>Pickup authorisations, health</t>
        </is>
      </c>
      <c r="F21" s="16" t="n"/>
      <c r="G21" s="16" t="inlineStr">
        <is>
          <t>Not started</t>
        </is>
      </c>
      <c r="H21" s="16" t="n"/>
      <c r="I21" s="16" t="n"/>
      <c r="J21" s="16" t="n"/>
      <c r="K21" s="16" t="n"/>
      <c r="L21" s="18">
        <f>IF(N(H21)=0,"",J21/H21)</f>
        <v/>
      </c>
      <c r="M21" s="16" t="n"/>
      <c r="N21" s="16" t="n"/>
    </row>
    <row r="22">
      <c r="A22" s="16" t="n">
        <v>20</v>
      </c>
      <c r="B22" s="17" t="inlineStr">
        <is>
          <t>Day journal</t>
        </is>
      </c>
      <c r="C22" s="16" t="inlineStr">
        <is>
          <t>#/app/journal</t>
        </is>
      </c>
      <c r="D22" s="16" t="inlineStr">
        <is>
          <t>teacher, admin, schooladmin, parent</t>
        </is>
      </c>
      <c r="E22" s="16" t="inlineStr">
        <is>
          <t>Parent is read-only</t>
        </is>
      </c>
      <c r="F22" s="16" t="n"/>
      <c r="G22" s="16" t="inlineStr">
        <is>
          <t>Not started</t>
        </is>
      </c>
      <c r="H22" s="16" t="n"/>
      <c r="I22" s="16" t="n"/>
      <c r="J22" s="16" t="n"/>
      <c r="K22" s="16" t="n"/>
      <c r="L22" s="18">
        <f>IF(N(H22)=0,"",J22/H22)</f>
        <v/>
      </c>
      <c r="M22" s="16" t="n"/>
      <c r="N22" s="16" t="n"/>
    </row>
    <row r="23">
      <c r="A23" s="16" t="n">
        <v>21</v>
      </c>
      <c r="B23" s="17" t="inlineStr">
        <is>
          <t>Results</t>
        </is>
      </c>
      <c r="C23" s="16" t="inlineStr">
        <is>
          <t>#/app/results</t>
        </is>
      </c>
      <c r="D23" s="16" t="inlineStr">
        <is>
          <t>schooladmin, admin</t>
        </is>
      </c>
      <c r="E23" s="16" t="inlineStr"/>
      <c r="F23" s="16" t="n"/>
      <c r="G23" s="16" t="inlineStr">
        <is>
          <t>Not started</t>
        </is>
      </c>
      <c r="H23" s="16" t="n"/>
      <c r="I23" s="16" t="n"/>
      <c r="J23" s="16" t="n"/>
      <c r="K23" s="16" t="n"/>
      <c r="L23" s="18">
        <f>IF(N(H23)=0,"",J23/H23)</f>
        <v/>
      </c>
      <c r="M23" s="16" t="n"/>
      <c r="N23" s="16" t="n"/>
    </row>
    <row r="24">
      <c r="A24" s="16" t="n">
        <v>22</v>
      </c>
      <c r="B24" s="17" t="inlineStr">
        <is>
          <t>Timetable</t>
        </is>
      </c>
      <c r="C24" s="16" t="inlineStr">
        <is>
          <t>#/app/timetable</t>
        </is>
      </c>
      <c r="D24" s="16" t="inlineStr">
        <is>
          <t>schooladmin, admin, teacher, parent, supervisor</t>
        </is>
      </c>
      <c r="E24" s="16" t="inlineStr"/>
      <c r="F24" s="16" t="n"/>
      <c r="G24" s="16" t="inlineStr">
        <is>
          <t>Not started</t>
        </is>
      </c>
      <c r="H24" s="16" t="n"/>
      <c r="I24" s="16" t="n"/>
      <c r="J24" s="16" t="n"/>
      <c r="K24" s="16" t="n"/>
      <c r="L24" s="18">
        <f>IF(N(H24)=0,"",J24/H24)</f>
        <v/>
      </c>
      <c r="M24" s="16" t="n"/>
      <c r="N24" s="16" t="n"/>
    </row>
    <row r="25">
      <c r="A25" s="16" t="n">
        <v>23</v>
      </c>
      <c r="B25" s="17" t="inlineStr">
        <is>
          <t>Attendance</t>
        </is>
      </c>
      <c r="C25" s="16" t="inlineStr">
        <is>
          <t>#/app/attendance</t>
        </is>
      </c>
      <c r="D25" s="16" t="inlineStr">
        <is>
          <t>schooladmin, teacher, admin, supervisor</t>
        </is>
      </c>
      <c r="E25" s="16" t="inlineStr">
        <is>
          <t>Roll call + notify parent</t>
        </is>
      </c>
      <c r="F25" s="16" t="n"/>
      <c r="G25" s="16" t="inlineStr">
        <is>
          <t>Not started</t>
        </is>
      </c>
      <c r="H25" s="16" t="n"/>
      <c r="I25" s="16" t="n"/>
      <c r="J25" s="16" t="n"/>
      <c r="K25" s="16" t="n"/>
      <c r="L25" s="18">
        <f>IF(N(H25)=0,"",J25/H25)</f>
        <v/>
      </c>
      <c r="M25" s="16" t="n"/>
      <c r="N25" s="16" t="n"/>
    </row>
    <row r="26">
      <c r="A26" s="16" t="n">
        <v>24</v>
      </c>
      <c r="B26" s="17" t="inlineStr">
        <is>
          <t>Homework</t>
        </is>
      </c>
      <c r="C26" s="16" t="inlineStr">
        <is>
          <t>#/app/homework</t>
        </is>
      </c>
      <c r="D26" s="16" t="inlineStr">
        <is>
          <t>teacher, admin, parent</t>
        </is>
      </c>
      <c r="E26" s="16" t="inlineStr">
        <is>
          <t>FEATURE FLAG OFF by default</t>
        </is>
      </c>
      <c r="F26" s="16" t="n"/>
      <c r="G26" s="16" t="inlineStr">
        <is>
          <t>Not started</t>
        </is>
      </c>
      <c r="H26" s="16" t="n"/>
      <c r="I26" s="16" t="n"/>
      <c r="J26" s="16" t="n"/>
      <c r="K26" s="16" t="n"/>
      <c r="L26" s="18">
        <f>IF(N(H26)=0,"",J26/H26)</f>
        <v/>
      </c>
      <c r="M26" s="16" t="n"/>
      <c r="N26" s="16" t="n"/>
    </row>
    <row r="27">
      <c r="A27" s="16" t="n">
        <v>25</v>
      </c>
      <c r="B27" s="17" t="inlineStr">
        <is>
          <t>Exams</t>
        </is>
      </c>
      <c r="C27" s="16" t="inlineStr">
        <is>
          <t>#/app/exams</t>
        </is>
      </c>
      <c r="D27" s="16" t="inlineStr">
        <is>
          <t>schooladmin, admin, teacher, parent</t>
        </is>
      </c>
      <c r="E27" s="16" t="inlineStr">
        <is>
          <t>FEATURE FLAG OFF by default</t>
        </is>
      </c>
      <c r="F27" s="16" t="n"/>
      <c r="G27" s="16" t="inlineStr">
        <is>
          <t>Not started</t>
        </is>
      </c>
      <c r="H27" s="16" t="n"/>
      <c r="I27" s="16" t="n"/>
      <c r="J27" s="16" t="n"/>
      <c r="K27" s="16" t="n"/>
      <c r="L27" s="18">
        <f>IF(N(H27)=0,"",J27/H27)</f>
        <v/>
      </c>
      <c r="M27" s="16" t="n"/>
      <c r="N27" s="16" t="n"/>
    </row>
    <row r="28">
      <c r="A28" s="16" t="n">
        <v>26</v>
      </c>
      <c r="B28" s="17" t="inlineStr">
        <is>
          <t>Finance</t>
        </is>
      </c>
      <c r="C28" s="16" t="inlineStr">
        <is>
          <t>#/app/finance</t>
        </is>
      </c>
      <c r="D28" s="16" t="inlineStr">
        <is>
          <t>schooladmin, admin</t>
        </is>
      </c>
      <c r="E28" s="16" t="inlineStr"/>
      <c r="F28" s="16" t="n"/>
      <c r="G28" s="16" t="inlineStr">
        <is>
          <t>Not started</t>
        </is>
      </c>
      <c r="H28" s="16" t="n"/>
      <c r="I28" s="16" t="n"/>
      <c r="J28" s="16" t="n"/>
      <c r="K28" s="16" t="n"/>
      <c r="L28" s="18">
        <f>IF(N(H28)=0,"",J28/H28)</f>
        <v/>
      </c>
      <c r="M28" s="16" t="n"/>
      <c r="N28" s="16" t="n"/>
    </row>
    <row r="29">
      <c r="A29" s="16" t="n">
        <v>27</v>
      </c>
      <c r="B29" s="17" t="inlineStr">
        <is>
          <t>Payments</t>
        </is>
      </c>
      <c r="C29" s="16" t="inlineStr">
        <is>
          <t>#/app/payments</t>
        </is>
      </c>
      <c r="D29" s="16" t="inlineStr">
        <is>
          <t>parent</t>
        </is>
      </c>
      <c r="E29" s="16" t="inlineStr">
        <is>
          <t>Parent can never set status to Payé</t>
        </is>
      </c>
      <c r="F29" s="16" t="n"/>
      <c r="G29" s="16" t="inlineStr">
        <is>
          <t>Not started</t>
        </is>
      </c>
      <c r="H29" s="16" t="n"/>
      <c r="I29" s="16" t="n"/>
      <c r="J29" s="16" t="n"/>
      <c r="K29" s="16" t="n"/>
      <c r="L29" s="18">
        <f>IF(N(H29)=0,"",J29/H29)</f>
        <v/>
      </c>
      <c r="M29" s="16" t="n"/>
      <c r="N29" s="16" t="n"/>
    </row>
    <row r="30">
      <c r="A30" s="16" t="n">
        <v>28</v>
      </c>
      <c r="B30" s="17" t="inlineStr">
        <is>
          <t>Live tracking</t>
        </is>
      </c>
      <c r="C30" s="16" t="inlineStr">
        <is>
          <t>#/app/live</t>
        </is>
      </c>
      <c r="D30" s="16" t="inlineStr">
        <is>
          <t>parent</t>
        </is>
      </c>
      <c r="E30" s="16" t="inlineStr">
        <is>
          <t>Route map + time slider</t>
        </is>
      </c>
      <c r="F30" s="16" t="n"/>
      <c r="G30" s="16" t="inlineStr">
        <is>
          <t>Not started</t>
        </is>
      </c>
      <c r="H30" s="16" t="n"/>
      <c r="I30" s="16" t="n"/>
      <c r="J30" s="16" t="n"/>
      <c r="K30" s="16" t="n"/>
      <c r="L30" s="18">
        <f>IF(N(H30)=0,"",J30/H30)</f>
        <v/>
      </c>
      <c r="M30" s="16" t="n"/>
      <c r="N30" s="16" t="n"/>
    </row>
    <row r="31">
      <c r="A31" s="16" t="n">
        <v>29</v>
      </c>
      <c r="B31" s="17" t="inlineStr">
        <is>
          <t>Library</t>
        </is>
      </c>
      <c r="C31" s="16" t="inlineStr">
        <is>
          <t>#/app/library</t>
        </is>
      </c>
      <c r="D31" s="16" t="inlineStr">
        <is>
          <t>schooladmin, admin, teacher</t>
        </is>
      </c>
      <c r="E31" s="16" t="inlineStr">
        <is>
          <t>FEATURE FLAG OFF by default</t>
        </is>
      </c>
      <c r="F31" s="16" t="n"/>
      <c r="G31" s="16" t="inlineStr">
        <is>
          <t>Not started</t>
        </is>
      </c>
      <c r="H31" s="16" t="n"/>
      <c r="I31" s="16" t="n"/>
      <c r="J31" s="16" t="n"/>
      <c r="K31" s="16" t="n"/>
      <c r="L31" s="18">
        <f>IF(N(H31)=0,"",J31/H31)</f>
        <v/>
      </c>
      <c r="M31" s="16" t="n"/>
      <c r="N31" s="16" t="n"/>
    </row>
    <row r="32">
      <c r="A32" s="16" t="n">
        <v>30</v>
      </c>
      <c r="B32" s="17" t="inlineStr">
        <is>
          <t>Transport</t>
        </is>
      </c>
      <c r="C32" s="16" t="inlineStr">
        <is>
          <t>#/app/transport</t>
        </is>
      </c>
      <c r="D32" s="16" t="inlineStr">
        <is>
          <t>schooladmin, admin, parent</t>
        </is>
      </c>
      <c r="E32" s="16" t="inlineStr">
        <is>
          <t>FEATURE FLAG OFF by default</t>
        </is>
      </c>
      <c r="F32" s="16" t="n"/>
      <c r="G32" s="16" t="inlineStr">
        <is>
          <t>Not started</t>
        </is>
      </c>
      <c r="H32" s="16" t="n"/>
      <c r="I32" s="16" t="n"/>
      <c r="J32" s="16" t="n"/>
      <c r="K32" s="16" t="n"/>
      <c r="L32" s="18">
        <f>IF(N(H32)=0,"",J32/H32)</f>
        <v/>
      </c>
      <c r="M32" s="16" t="n"/>
      <c r="N32" s="16" t="n"/>
    </row>
    <row r="33">
      <c r="A33" s="16" t="n">
        <v>31</v>
      </c>
      <c r="B33" s="17" t="inlineStr">
        <is>
          <t>Events</t>
        </is>
      </c>
      <c r="C33" s="16" t="inlineStr">
        <is>
          <t>#/app/events</t>
        </is>
      </c>
      <c r="D33" s="16" t="inlineStr">
        <is>
          <t>6 roles</t>
        </is>
      </c>
      <c r="E33" s="16" t="inlineStr">
        <is>
          <t>Month calendar</t>
        </is>
      </c>
      <c r="F33" s="16" t="n"/>
      <c r="G33" s="16" t="inlineStr">
        <is>
          <t>Not started</t>
        </is>
      </c>
      <c r="H33" s="16" t="n"/>
      <c r="I33" s="16" t="n"/>
      <c r="J33" s="16" t="n"/>
      <c r="K33" s="16" t="n"/>
      <c r="L33" s="18">
        <f>IF(N(H33)=0,"",J33/H33)</f>
        <v/>
      </c>
      <c r="M33" s="16" t="n"/>
      <c r="N33" s="16" t="n"/>
    </row>
    <row r="34">
      <c r="A34" s="16" t="n">
        <v>32</v>
      </c>
      <c r="B34" s="17" t="inlineStr">
        <is>
          <t>Social</t>
        </is>
      </c>
      <c r="C34" s="16" t="inlineStr">
        <is>
          <t>#/app/social</t>
        </is>
      </c>
      <c r="D34" s="16" t="inlineStr">
        <is>
          <t>6 roles</t>
        </is>
      </c>
      <c r="E34" s="16" t="inlineStr">
        <is>
          <t>LARGEST PAGE — RSVP / quorum / approval state machine</t>
        </is>
      </c>
      <c r="F34" s="16" t="n"/>
      <c r="G34" s="16" t="inlineStr">
        <is>
          <t>Not started</t>
        </is>
      </c>
      <c r="H34" s="16" t="n"/>
      <c r="I34" s="16" t="n"/>
      <c r="J34" s="16" t="n"/>
      <c r="K34" s="16" t="n"/>
      <c r="L34" s="18">
        <f>IF(N(H34)=0,"",J34/H34)</f>
        <v/>
      </c>
      <c r="M34" s="16" t="n"/>
      <c r="N34" s="16" t="n"/>
    </row>
    <row r="35">
      <c r="A35" s="16" t="n">
        <v>33</v>
      </c>
      <c r="B35" s="17" t="inlineStr">
        <is>
          <t>Security</t>
        </is>
      </c>
      <c r="C35" s="16" t="inlineStr">
        <is>
          <t>#/app/security</t>
        </is>
      </c>
      <c r="D35" s="16" t="inlineStr">
        <is>
          <t>security, schooladmin, admin</t>
        </is>
      </c>
      <c r="E35" s="16" t="inlineStr">
        <is>
          <t>5 tabs</t>
        </is>
      </c>
      <c r="F35" s="16" t="n"/>
      <c r="G35" s="16" t="inlineStr">
        <is>
          <t>Not started</t>
        </is>
      </c>
      <c r="H35" s="16" t="n"/>
      <c r="I35" s="16" t="n"/>
      <c r="J35" s="16" t="n"/>
      <c r="K35" s="16" t="n"/>
      <c r="L35" s="18">
        <f>IF(N(H35)=0,"",J35/H35)</f>
        <v/>
      </c>
      <c r="M35" s="16" t="n"/>
      <c r="N35" s="16" t="n"/>
    </row>
    <row r="36">
      <c r="A36" s="16" t="n">
        <v>34</v>
      </c>
      <c r="B36" s="17" t="inlineStr">
        <is>
          <t>Incidents</t>
        </is>
      </c>
      <c r="C36" s="16" t="inlineStr">
        <is>
          <t>#/app/incidents</t>
        </is>
      </c>
      <c r="D36" s="16" t="inlineStr">
        <is>
          <t>supervisor, security, admin, schooladmin</t>
        </is>
      </c>
      <c r="E36" s="16" t="inlineStr"/>
      <c r="F36" s="16" t="n"/>
      <c r="G36" s="16" t="inlineStr">
        <is>
          <t>Not started</t>
        </is>
      </c>
      <c r="H36" s="16" t="n"/>
      <c r="I36" s="16" t="n"/>
      <c r="J36" s="16" t="n"/>
      <c r="K36" s="16" t="n"/>
      <c r="L36" s="18">
        <f>IF(N(H36)=0,"",J36/H36)</f>
        <v/>
      </c>
      <c r="M36" s="16" t="n"/>
      <c r="N36" s="16" t="n"/>
    </row>
    <row r="37">
      <c r="A37" s="16" t="n">
        <v>35</v>
      </c>
      <c r="B37" s="17" t="inlineStr">
        <is>
          <t>Accidents</t>
        </is>
      </c>
      <c r="C37" s="16" t="inlineStr">
        <is>
          <t>#/app/accidents</t>
        </is>
      </c>
      <c r="D37" s="16" t="inlineStr">
        <is>
          <t>teacher, supervisor, admin, schooladmin, parent</t>
        </is>
      </c>
      <c r="E37" s="16" t="inlineStr">
        <is>
          <t>Two-eyes rule</t>
        </is>
      </c>
      <c r="F37" s="16" t="n"/>
      <c r="G37" s="16" t="inlineStr">
        <is>
          <t>Not started</t>
        </is>
      </c>
      <c r="H37" s="16" t="n"/>
      <c r="I37" s="16" t="n"/>
      <c r="J37" s="16" t="n"/>
      <c r="K37" s="16" t="n"/>
      <c r="L37" s="18">
        <f>IF(N(H37)=0,"",J37/H37)</f>
        <v/>
      </c>
      <c r="M37" s="16" t="n"/>
      <c r="N37" s="16" t="n"/>
    </row>
    <row r="38">
      <c r="A38" s="16" t="n">
        <v>36</v>
      </c>
      <c r="B38" s="17" t="inlineStr">
        <is>
          <t>Behavior</t>
        </is>
      </c>
      <c r="C38" s="16" t="inlineStr">
        <is>
          <t>#/app/behavior</t>
        </is>
      </c>
      <c r="D38" s="16" t="inlineStr">
        <is>
          <t>teacher, admin, schooladmin, parent</t>
        </is>
      </c>
      <c r="E38" s="16" t="inlineStr">
        <is>
          <t>No ranking allowed</t>
        </is>
      </c>
      <c r="F38" s="16" t="n"/>
      <c r="G38" s="16" t="inlineStr">
        <is>
          <t>Not started</t>
        </is>
      </c>
      <c r="H38" s="16" t="n"/>
      <c r="I38" s="16" t="n"/>
      <c r="J38" s="16" t="n"/>
      <c r="K38" s="16" t="n"/>
      <c r="L38" s="18">
        <f>IF(N(H38)=0,"",J38/H38)</f>
        <v/>
      </c>
      <c r="M38" s="16" t="n"/>
      <c r="N38" s="16" t="n"/>
    </row>
    <row r="39">
      <c r="A39" s="16" t="n">
        <v>37</v>
      </c>
      <c r="B39" s="17" t="inlineStr">
        <is>
          <t>Gallery</t>
        </is>
      </c>
      <c r="C39" s="16" t="inlineStr">
        <is>
          <t>#/app/gallery</t>
        </is>
      </c>
      <c r="D39" s="16" t="inlineStr">
        <is>
          <t>teacher, admin, schooladmin, parent</t>
        </is>
      </c>
      <c r="E39" s="16" t="inlineStr">
        <is>
          <t>Photo privacy per parent</t>
        </is>
      </c>
      <c r="F39" s="16" t="n"/>
      <c r="G39" s="16" t="inlineStr">
        <is>
          <t>Not started</t>
        </is>
      </c>
      <c r="H39" s="16" t="n"/>
      <c r="I39" s="16" t="n"/>
      <c r="J39" s="16" t="n"/>
      <c r="K39" s="16" t="n"/>
      <c r="L39" s="18">
        <f>IF(N(H39)=0,"",J39/H39)</f>
        <v/>
      </c>
      <c r="M39" s="16" t="n"/>
      <c r="N39" s="16" t="n"/>
    </row>
    <row r="40">
      <c r="A40" s="16" t="n">
        <v>38</v>
      </c>
      <c r="B40" s="17" t="inlineStr">
        <is>
          <t>Canteen</t>
        </is>
      </c>
      <c r="C40" s="16" t="inlineStr">
        <is>
          <t>#/app/canteen</t>
        </is>
      </c>
      <c r="D40" s="16" t="inlineStr">
        <is>
          <t>teacher, admin, schooladmin, parent</t>
        </is>
      </c>
      <c r="E40" s="16" t="inlineStr">
        <is>
          <t>Allergen alerts</t>
        </is>
      </c>
      <c r="F40" s="16" t="n"/>
      <c r="G40" s="16" t="inlineStr">
        <is>
          <t>Not started</t>
        </is>
      </c>
      <c r="H40" s="16" t="n"/>
      <c r="I40" s="16" t="n"/>
      <c r="J40" s="16" t="n"/>
      <c r="K40" s="16" t="n"/>
      <c r="L40" s="18">
        <f>IF(N(H40)=0,"",J40/H40)</f>
        <v/>
      </c>
      <c r="M40" s="16" t="n"/>
      <c r="N40" s="16" t="n"/>
    </row>
    <row r="41">
      <c r="A41" s="16" t="n">
        <v>39</v>
      </c>
      <c r="B41" s="17" t="inlineStr">
        <is>
          <t>Documents</t>
        </is>
      </c>
      <c r="C41" s="16" t="inlineStr">
        <is>
          <t>#/app/documents</t>
        </is>
      </c>
      <c r="D41" s="16" t="inlineStr">
        <is>
          <t>admin, schooladmin</t>
        </is>
      </c>
      <c r="E41" s="16" t="inlineStr">
        <is>
          <t>Gapless numbering, append-only</t>
        </is>
      </c>
      <c r="F41" s="16" t="n"/>
      <c r="G41" s="16" t="inlineStr">
        <is>
          <t>Not started</t>
        </is>
      </c>
      <c r="H41" s="16" t="n"/>
      <c r="I41" s="16" t="n"/>
      <c r="J41" s="16" t="n"/>
      <c r="K41" s="16" t="n"/>
      <c r="L41" s="18">
        <f>IF(N(H41)=0,"",J41/H41)</f>
        <v/>
      </c>
      <c r="M41" s="16" t="n"/>
      <c r="N41" s="16" t="n"/>
    </row>
    <row r="42">
      <c r="A42" s="16" t="n">
        <v>40</v>
      </c>
      <c r="B42" s="17" t="inlineStr">
        <is>
          <t>Budget</t>
        </is>
      </c>
      <c r="C42" s="16" t="inlineStr">
        <is>
          <t>#/app/budget</t>
        </is>
      </c>
      <c r="D42" s="16" t="inlineStr">
        <is>
          <t>schooladmin, admin</t>
        </is>
      </c>
      <c r="E42" s="16" t="inlineStr"/>
      <c r="F42" s="16" t="n"/>
      <c r="G42" s="16" t="inlineStr">
        <is>
          <t>Not started</t>
        </is>
      </c>
      <c r="H42" s="16" t="n"/>
      <c r="I42" s="16" t="n"/>
      <c r="J42" s="16" t="n"/>
      <c r="K42" s="16" t="n"/>
      <c r="L42" s="18">
        <f>IF(N(H42)=0,"",J42/H42)</f>
        <v/>
      </c>
      <c r="M42" s="16" t="n"/>
      <c r="N42" s="16" t="n"/>
    </row>
    <row r="43">
      <c r="A43" s="16" t="n">
        <v>41</v>
      </c>
      <c r="B43" s="17" t="inlineStr">
        <is>
          <t>Inventory</t>
        </is>
      </c>
      <c r="C43" s="16" t="inlineStr">
        <is>
          <t>#/app/inventory</t>
        </is>
      </c>
      <c r="D43" s="16" t="inlineStr">
        <is>
          <t>schooladmin, admin</t>
        </is>
      </c>
      <c r="E43" s="16" t="inlineStr">
        <is>
          <t>Stock never below zero</t>
        </is>
      </c>
      <c r="F43" s="16" t="n"/>
      <c r="G43" s="16" t="inlineStr">
        <is>
          <t>Not started</t>
        </is>
      </c>
      <c r="H43" s="16" t="n"/>
      <c r="I43" s="16" t="n"/>
      <c r="J43" s="16" t="n"/>
      <c r="K43" s="16" t="n"/>
      <c r="L43" s="18">
        <f>IF(N(H43)=0,"",J43/H43)</f>
        <v/>
      </c>
      <c r="M43" s="16" t="n"/>
      <c r="N43" s="16" t="n"/>
    </row>
    <row r="44">
      <c r="A44" s="16" t="n">
        <v>42</v>
      </c>
      <c r="B44" s="17" t="inlineStr">
        <is>
          <t>Recruit</t>
        </is>
      </c>
      <c r="C44" s="16" t="inlineStr">
        <is>
          <t>#/app/recruit</t>
        </is>
      </c>
      <c r="D44" s="16" t="inlineStr">
        <is>
          <t>schooladmin, admin</t>
        </is>
      </c>
      <c r="E44" s="16" t="inlineStr">
        <is>
          <t>No stage skipping</t>
        </is>
      </c>
      <c r="F44" s="16" t="n"/>
      <c r="G44" s="16" t="inlineStr">
        <is>
          <t>Not started</t>
        </is>
      </c>
      <c r="H44" s="16" t="n"/>
      <c r="I44" s="16" t="n"/>
      <c r="J44" s="16" t="n"/>
      <c r="K44" s="16" t="n"/>
      <c r="L44" s="18">
        <f>IF(N(H44)=0,"",J44/H44)</f>
        <v/>
      </c>
      <c r="M44" s="16" t="n"/>
      <c r="N44" s="16" t="n"/>
    </row>
    <row r="45">
      <c r="A45" s="16" t="n">
        <v>43</v>
      </c>
      <c r="B45" s="17" t="inlineStr">
        <is>
          <t>Admissions</t>
        </is>
      </c>
      <c r="C45" s="16" t="inlineStr">
        <is>
          <t>#/app/admissions</t>
        </is>
      </c>
      <c r="D45" s="16" t="inlineStr">
        <is>
          <t>schooladmin, admin</t>
        </is>
      </c>
      <c r="E45" s="16" t="inlineStr">
        <is>
          <t>Capacity decides / waitlist</t>
        </is>
      </c>
      <c r="F45" s="16" t="n"/>
      <c r="G45" s="16" t="inlineStr">
        <is>
          <t>Not started</t>
        </is>
      </c>
      <c r="H45" s="16" t="n"/>
      <c r="I45" s="16" t="n"/>
      <c r="J45" s="16" t="n"/>
      <c r="K45" s="16" t="n"/>
      <c r="L45" s="18">
        <f>IF(N(H45)=0,"",J45/H45)</f>
        <v/>
      </c>
      <c r="M45" s="16" t="n"/>
      <c r="N45" s="16" t="n"/>
    </row>
    <row r="46">
      <c r="A46" s="16" t="n">
        <v>44</v>
      </c>
      <c r="B46" s="17" t="inlineStr">
        <is>
          <t>Interop (OneRoster)</t>
        </is>
      </c>
      <c r="C46" s="16" t="inlineStr">
        <is>
          <t>#/app/interop</t>
        </is>
      </c>
      <c r="D46" s="16" t="inlineStr">
        <is>
          <t>schooladmin, admin</t>
        </is>
      </c>
      <c r="E46" s="16" t="inlineStr">
        <is>
          <t>CSV v1.2 export</t>
        </is>
      </c>
      <c r="F46" s="16" t="n"/>
      <c r="G46" s="16" t="inlineStr">
        <is>
          <t>Not started</t>
        </is>
      </c>
      <c r="H46" s="16" t="n"/>
      <c r="I46" s="16" t="n"/>
      <c r="J46" s="16" t="n"/>
      <c r="K46" s="16" t="n"/>
      <c r="L46" s="18">
        <f>IF(N(H46)=0,"",J46/H46)</f>
        <v/>
      </c>
      <c r="M46" s="16" t="n"/>
      <c r="N46" s="16" t="n"/>
    </row>
    <row r="47">
      <c r="A47" s="16" t="n">
        <v>45</v>
      </c>
      <c r="B47" s="17" t="inlineStr">
        <is>
          <t>Requests</t>
        </is>
      </c>
      <c r="C47" s="16" t="inlineStr">
        <is>
          <t>#/app/requests</t>
        </is>
      </c>
      <c r="D47" s="16" t="inlineStr">
        <is>
          <t>teacher, admin, schooladmin</t>
        </is>
      </c>
      <c r="E47" s="16" t="inlineStr">
        <is>
          <t>12 types, 2-level approval</t>
        </is>
      </c>
      <c r="F47" s="16" t="n"/>
      <c r="G47" s="16" t="inlineStr">
        <is>
          <t>Not started</t>
        </is>
      </c>
      <c r="H47" s="16" t="n"/>
      <c r="I47" s="16" t="n"/>
      <c r="J47" s="16" t="n"/>
      <c r="K47" s="16" t="n"/>
      <c r="L47" s="18">
        <f>IF(N(H47)=0,"",J47/H47)</f>
        <v/>
      </c>
      <c r="M47" s="16" t="n"/>
      <c r="N47" s="16" t="n"/>
    </row>
    <row r="48">
      <c r="A48" s="16" t="n">
        <v>46</v>
      </c>
      <c r="B48" s="17" t="inlineStr">
        <is>
          <t>Messages</t>
        </is>
      </c>
      <c r="C48" s="16" t="inlineStr">
        <is>
          <t>#/app/messages</t>
        </is>
      </c>
      <c r="D48" s="16" t="inlineStr">
        <is>
          <t>all 7</t>
        </is>
      </c>
      <c r="E48" s="16" t="inlineStr"/>
      <c r="F48" s="16" t="n"/>
      <c r="G48" s="16" t="inlineStr">
        <is>
          <t>Not started</t>
        </is>
      </c>
      <c r="H48" s="16" t="n"/>
      <c r="I48" s="16" t="n"/>
      <c r="J48" s="16" t="n"/>
      <c r="K48" s="16" t="n"/>
      <c r="L48" s="18">
        <f>IF(N(H48)=0,"",J48/H48)</f>
        <v/>
      </c>
      <c r="M48" s="16" t="n"/>
      <c r="N48" s="16" t="n"/>
    </row>
    <row r="49">
      <c r="A49" s="16" t="n">
        <v>47</v>
      </c>
      <c r="B49" s="17" t="inlineStr">
        <is>
          <t>Notices</t>
        </is>
      </c>
      <c r="C49" s="16" t="inlineStr">
        <is>
          <t>#/app/notices</t>
        </is>
      </c>
      <c r="D49" s="16" t="inlineStr">
        <is>
          <t>all 7</t>
        </is>
      </c>
      <c r="E49" s="16" t="inlineStr"/>
      <c r="F49" s="16" t="n"/>
      <c r="G49" s="16" t="inlineStr">
        <is>
          <t>Not started</t>
        </is>
      </c>
      <c r="H49" s="16" t="n"/>
      <c r="I49" s="16" t="n"/>
      <c r="J49" s="16" t="n"/>
      <c r="K49" s="16" t="n"/>
      <c r="L49" s="18">
        <f>IF(N(H49)=0,"",J49/H49)</f>
        <v/>
      </c>
      <c r="M49" s="16" t="n"/>
      <c r="N49" s="16" t="n"/>
    </row>
    <row r="50">
      <c r="A50" s="16" t="n">
        <v>48</v>
      </c>
      <c r="B50" s="17" t="inlineStr">
        <is>
          <t>Notifications</t>
        </is>
      </c>
      <c r="C50" s="16" t="inlineStr">
        <is>
          <t>#/app/notifications</t>
        </is>
      </c>
      <c r="D50" s="16" t="inlineStr">
        <is>
          <t>all 7</t>
        </is>
      </c>
      <c r="E50" s="16" t="inlineStr"/>
      <c r="F50" s="16" t="n"/>
      <c r="G50" s="16" t="inlineStr">
        <is>
          <t>Not started</t>
        </is>
      </c>
      <c r="H50" s="16" t="n"/>
      <c r="I50" s="16" t="n"/>
      <c r="J50" s="16" t="n"/>
      <c r="K50" s="16" t="n"/>
      <c r="L50" s="18">
        <f>IF(N(H50)=0,"",J50/H50)</f>
        <v/>
      </c>
      <c r="M50" s="16" t="n"/>
      <c r="N50" s="16" t="n"/>
    </row>
    <row r="51">
      <c r="A51" s="16" t="n">
        <v>49</v>
      </c>
      <c r="B51" s="17" t="inlineStr">
        <is>
          <t>Cross-cutting: AppShell</t>
        </is>
      </c>
      <c r="C51" s="16" t="inlineStr">
        <is>
          <t>(every page)</t>
        </is>
      </c>
      <c r="D51" s="16" t="inlineStr">
        <is>
          <t>all 7</t>
        </is>
      </c>
      <c r="E51" s="16" t="inlineStr">
        <is>
          <t>Sidebar, Ctrl+K palette, bell, user menu, FR/AR</t>
        </is>
      </c>
      <c r="F51" s="16" t="n"/>
      <c r="G51" s="16" t="inlineStr">
        <is>
          <t>Not started</t>
        </is>
      </c>
      <c r="H51" s="16" t="n"/>
      <c r="I51" s="16" t="n"/>
      <c r="J51" s="16" t="n"/>
      <c r="K51" s="16" t="n"/>
      <c r="L51" s="18">
        <f>IF(N(H51)=0,"",J51/H51)</f>
        <v/>
      </c>
      <c r="M51" s="16" t="n"/>
      <c r="N51" s="16" t="n"/>
    </row>
    <row r="52">
      <c r="A52" s="16" t="n">
        <v>50</v>
      </c>
      <c r="B52" s="17" t="inlineStr">
        <is>
          <t>Cross-cutting: Arabic RTL</t>
        </is>
      </c>
      <c r="C52" s="16" t="inlineStr">
        <is>
          <t>(every page)</t>
        </is>
      </c>
      <c r="D52" s="16" t="inlineStr">
        <is>
          <t>all 7</t>
        </is>
      </c>
      <c r="E52" s="16" t="inlineStr">
        <is>
          <t>dir=rtl, Tajawal font, no clipped layout</t>
        </is>
      </c>
      <c r="F52" s="16" t="n"/>
      <c r="G52" s="16" t="inlineStr">
        <is>
          <t>Not started</t>
        </is>
      </c>
      <c r="H52" s="16" t="n"/>
      <c r="I52" s="16" t="n"/>
      <c r="J52" s="16" t="n"/>
      <c r="K52" s="16" t="n"/>
      <c r="L52" s="18">
        <f>IF(N(H52)=0,"",J52/H52)</f>
        <v/>
      </c>
      <c r="M52" s="16" t="n"/>
      <c r="N52" s="16" t="n"/>
    </row>
    <row r="53">
      <c r="A53" s="16" t="n">
        <v>51</v>
      </c>
      <c r="B53" s="17" t="inlineStr">
        <is>
          <t>Cross-cutting: Mobile 390px</t>
        </is>
      </c>
      <c r="C53" s="16" t="inlineStr">
        <is>
          <t>(every page)</t>
        </is>
      </c>
      <c r="D53" s="16" t="inlineStr">
        <is>
          <t>all 7</t>
        </is>
      </c>
      <c r="E53" s="16" t="inlineStr">
        <is>
          <t>No horizontal overflow</t>
        </is>
      </c>
      <c r="F53" s="16" t="n"/>
      <c r="G53" s="16" t="inlineStr">
        <is>
          <t>Not started</t>
        </is>
      </c>
      <c r="H53" s="16" t="n"/>
      <c r="I53" s="16" t="n"/>
      <c r="J53" s="16" t="n"/>
      <c r="K53" s="16" t="n"/>
      <c r="L53" s="18">
        <f>IF(N(H53)=0,"",J53/H53)</f>
        <v/>
      </c>
      <c r="M53" s="16" t="n"/>
      <c r="N53" s="16" t="n"/>
    </row>
  </sheetData>
  <autoFilter ref="A2:N2"/>
  <mergeCells count="1">
    <mergeCell ref="A1:N1"/>
  </mergeCells>
  <conditionalFormatting sqref="G3:G53">
    <cfRule type="cellIs" priority="1" operator="equal" dxfId="0">
      <formula>"Complete"</formula>
    </cfRule>
    <cfRule type="cellIs" priority="2" operator="equal" dxfId="1">
      <formula>"Blocked"</formula>
    </cfRule>
    <cfRule type="cellIs" priority="3" operator="equal" dxfId="2">
      <formula>"In progress"</formula>
    </cfRule>
    <cfRule type="cellIs" priority="4" operator="equal" dxfId="3">
      <formula>"Not started"</formula>
    </cfRule>
  </conditionalFormatting>
  <dataValidations count="1">
    <dataValidation sqref="G3:G53" showDropDown="0" showInputMessage="0" showErrorMessage="0" allowBlank="1" type="list">
      <formula1>=Lists!$L$2:$L$6</formula1>
    </dataValidation>
  </dataValidations>
  <pageMargins left="0.75" right="0.75" top="1" bottom="1" header="0.5" footer="0.5"/>
</worksheet>
</file>

<file path=xl/worksheets/sheet7.xml><?xml version="1.0" encoding="utf-8"?>
<worksheet xmlns="http://schemas.openxmlformats.org/spreadsheetml/2006/main">
  <sheetPr>
    <tabColor rgb="00C2410C"/>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5" customWidth="1" min="1" max="1"/>
    <col width="18" customWidth="1" min="2" max="2"/>
    <col width="26" customWidth="1" min="3" max="3"/>
    <col width="14" customWidth="1" min="4" max="4"/>
    <col width="56" customWidth="1" min="5" max="5"/>
    <col width="34" customWidth="1" min="6" max="6"/>
  </cols>
  <sheetData>
    <row r="1" ht="26" customHeight="1">
      <c r="A1" s="13" t="inlineStr">
        <is>
          <t>THE 7 DEMO ACCOUNTS — always test with these. Never invent accounts: results must be reproducible.</t>
        </is>
      </c>
    </row>
    <row r="2" ht="42" customHeight="1">
      <c r="A2" s="14" t="inlineStr">
        <is>
          <t>Role (code)</t>
        </is>
      </c>
      <c r="B2" s="14" t="inlineStr">
        <is>
          <t>Label in app</t>
        </is>
      </c>
      <c r="C2" s="14" t="inlineStr">
        <is>
          <t>Demo e-mail</t>
        </is>
      </c>
      <c r="D2" s="14" t="inlineStr">
        <is>
          <t>Password</t>
        </is>
      </c>
      <c r="E2" s="14" t="inlineStr">
        <is>
          <t>What to check with this role</t>
        </is>
      </c>
      <c r="F2" s="14" t="inlineStr">
        <is>
          <t>Notes</t>
        </is>
      </c>
    </row>
    <row r="3" ht="30" customHeight="1">
      <c r="A3" s="17" t="inlineStr">
        <is>
          <t>owner</t>
        </is>
      </c>
      <c r="B3" s="16" t="inlineStr">
        <is>
          <t>Plateforme</t>
        </is>
      </c>
      <c r="C3" s="16" t="inlineStr">
        <is>
          <t>owner@kogia.tn</t>
        </is>
      </c>
      <c r="D3" s="16" t="inlineStr">
        <is>
          <t>owner</t>
        </is>
      </c>
      <c r="E3" s="16" t="inlineStr">
        <is>
          <t>SaaS console: create a school, suspend it, reset demo data.</t>
        </is>
      </c>
      <c r="F3" s="16" t="inlineStr">
        <is>
          <t>Kogia Group level, above the school</t>
        </is>
      </c>
    </row>
    <row r="4" ht="30" customHeight="1">
      <c r="A4" s="17" t="inlineStr">
        <is>
          <t>schooladmin</t>
        </is>
      </c>
      <c r="B4" s="16" t="inlineStr">
        <is>
          <t>Direction</t>
        </is>
      </c>
      <c r="C4" s="16" t="inlineStr">
        <is>
          <t>direction@alnour.tn</t>
        </is>
      </c>
      <c r="D4" s="16" t="inlineStr">
        <is>
          <t>admin</t>
        </is>
      </c>
      <c r="E4" s="16" t="inlineStr">
        <is>
          <t>Everything. Settings, accounts, modules, finance, promotion.</t>
        </is>
      </c>
      <c r="F4" s="16" t="inlineStr">
        <is>
          <t>The last active Direction account cannot be disabled</t>
        </is>
      </c>
    </row>
    <row r="5" ht="30" customHeight="1">
      <c r="A5" s="17" t="inlineStr">
        <is>
          <t>admin</t>
        </is>
      </c>
      <c r="B5" s="16" t="inlineStr">
        <is>
          <t>Administration</t>
        </is>
      </c>
      <c r="C5" s="16" t="inlineStr">
        <is>
          <t>admin@alnour.tn</t>
        </is>
      </c>
      <c r="D5" s="16" t="inlineStr">
        <is>
          <t>office</t>
        </is>
      </c>
      <c r="E5" s="16" t="inlineStr">
        <is>
          <t>Office work: invoices, HR, admissions, documents.</t>
        </is>
      </c>
      <c r="F5" s="16" t="inlineStr">
        <is>
          <t>No access to Settings or Accounts</t>
        </is>
      </c>
    </row>
    <row r="6" ht="30" customHeight="1">
      <c r="A6" s="17" t="inlineStr">
        <is>
          <t>teacher</t>
        </is>
      </c>
      <c r="B6" s="16" t="inlineStr">
        <is>
          <t>Enseignant</t>
        </is>
      </c>
      <c r="C6" s="16" t="inlineStr">
        <is>
          <t>enseignant@alnour.tn</t>
        </is>
      </c>
      <c r="D6" s="16" t="inlineStr">
        <is>
          <t>teacher</t>
        </is>
      </c>
      <c r="E6" s="16" t="inlineStr">
        <is>
          <t>Evaluate, attendance, behavior, gallery, requests.</t>
        </is>
      </c>
      <c r="F6" s="16" t="inlineStr">
        <is>
          <t>Must NOT receive payroll or invoice data</t>
        </is>
      </c>
    </row>
    <row r="7" ht="30" customHeight="1">
      <c r="A7" s="17" t="inlineStr">
        <is>
          <t>teacher (crèche)</t>
        </is>
      </c>
      <c r="B7" s="16" t="inlineStr">
        <is>
          <t>Enseignant</t>
        </is>
      </c>
      <c r="C7" s="16" t="inlineStr">
        <is>
          <t>creche@alnour.tn</t>
        </is>
      </c>
      <c r="D7" s="16" t="inlineStr">
        <is>
          <t>teacher</t>
        </is>
      </c>
      <c r="E7" s="16" t="inlineStr">
        <is>
          <t>Day journal, meals, nap, diaper — early-years modules only.</t>
        </is>
      </c>
      <c r="F7" s="16" t="inlineStr">
        <is>
          <t>Level gating: must not see Timetable</t>
        </is>
      </c>
    </row>
    <row r="8" ht="30" customHeight="1">
      <c r="A8" s="17" t="inlineStr">
        <is>
          <t>supervisor</t>
        </is>
      </c>
      <c r="B8" s="16" t="inlineStr">
        <is>
          <t>Surveillant</t>
        </is>
      </c>
      <c r="C8" s="16" t="inlineStr">
        <is>
          <t>surveillant@alnour.tn</t>
        </is>
      </c>
      <c r="D8" s="16" t="inlineStr">
        <is>
          <t>super</t>
        </is>
      </c>
      <c r="E8" s="16" t="inlineStr">
        <is>
          <t>Incidents, attendance, accidents.</t>
        </is>
      </c>
      <c r="F8" s="16" t="inlineStr">
        <is>
          <t>Restricted read scope</t>
        </is>
      </c>
    </row>
    <row r="9" ht="30" customHeight="1">
      <c r="A9" s="17" t="inlineStr">
        <is>
          <t>security</t>
        </is>
      </c>
      <c r="B9" s="16" t="inlineStr">
        <is>
          <t>Sécurité</t>
        </is>
      </c>
      <c r="C9" s="16" t="inlineStr">
        <is>
          <t>securite@alnour.tn</t>
        </is>
      </c>
      <c r="D9" s="16" t="inlineStr">
        <is>
          <t>secu</t>
        </is>
      </c>
      <c r="E9" s="16" t="inlineStr">
        <is>
          <t>Visitors, rounds, log book, instructions.</t>
        </is>
      </c>
      <c r="F9" s="16" t="inlineStr">
        <is>
          <t>Must NOT see health, evaluations, behavior, photos</t>
        </is>
      </c>
    </row>
    <row r="10" ht="30" customHeight="1">
      <c r="A10" s="17" t="inlineStr">
        <is>
          <t>parent</t>
        </is>
      </c>
      <c r="B10" s="16" t="inlineStr">
        <is>
          <t>Parent</t>
        </is>
      </c>
      <c r="C10" s="16" t="inlineStr">
        <is>
          <t>parent@alnour.tn</t>
        </is>
      </c>
      <c r="D10" s="16" t="inlineStr">
        <is>
          <t>parent</t>
        </is>
      </c>
      <c r="E10" s="16" t="inlineStr">
        <is>
          <t>Own child only: journal, payments, live, gallery, accidents.</t>
        </is>
      </c>
      <c r="F10" s="16" t="inlineStr">
        <is>
          <t>p1 has TWO children — use it to test the child selector</t>
        </is>
      </c>
    </row>
    <row r="11" ht="30" customHeight="1">
      <c r="A11" s="17" t="inlineStr">
        <is>
          <t>parent 2-5</t>
        </is>
      </c>
      <c r="B11" s="16" t="inlineStr">
        <is>
          <t>Parent</t>
        </is>
      </c>
      <c r="C11" s="16" t="inlineStr">
        <is>
          <t>parent2..5@alnour.tn</t>
        </is>
      </c>
      <c r="D11" s="16" t="inlineStr">
        <is>
          <t>parent</t>
        </is>
      </c>
      <c r="E11" s="16" t="inlineStr">
        <is>
          <t>Privacy: must never see another family's child.</t>
        </is>
      </c>
      <c r="F11" s="16" t="inlineStr">
        <is>
          <t>Use to prove data isolation</t>
        </is>
      </c>
    </row>
  </sheetData>
  <autoFilter ref="A2:F2"/>
  <mergeCells count="1">
    <mergeCell ref="A1:F1"/>
  </mergeCells>
  <pageMargins left="0.75" right="0.75" top="1" bottom="1" header="0.5" footer="0.5"/>
</worksheet>
</file>

<file path=xl/worksheets/sheet8.xml><?xml version="1.0" encoding="utf-8"?>
<worksheet xmlns="http://schemas.openxmlformats.org/spreadsheetml/2006/main">
  <sheetPr>
    <tabColor rgb="004361D0"/>
    <outlinePr summaryBelow="1" summaryRight="1"/>
    <pageSetUpPr/>
  </sheetPr>
  <dimension ref="A1:Q60"/>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15" customWidth="1" min="3" max="3"/>
    <col width="11" customWidth="1" min="4" max="4"/>
    <col width="11" customWidth="1" min="5" max="5"/>
    <col width="14" customWidth="1" min="6" max="6"/>
    <col width="40" customWidth="1" min="7" max="7"/>
    <col width="10" customWidth="1" min="8" max="8"/>
    <col width="9" customWidth="1" min="9" max="9"/>
    <col width="8" customWidth="1" min="10" max="10"/>
    <col width="9" customWidth="1" min="11" max="11"/>
    <col width="10" customWidth="1" min="12" max="12"/>
    <col width="12" customWidth="1" min="13" max="13"/>
    <col width="11" customWidth="1" min="14" max="14"/>
    <col width="16" customWidth="1" min="15" max="15"/>
    <col width="13" customWidth="1" min="16" max="16"/>
    <col width="34" customWidth="1" min="17" max="17"/>
  </cols>
  <sheetData>
    <row r="1" ht="26" customHeight="1">
      <c r="A1" s="13" t="inlineStr">
        <is>
          <t>TEST CYCLES — one row per round of testing. The Go / No-Go decision is recorded here, with its evidence.</t>
        </is>
      </c>
    </row>
    <row r="2" ht="42" customHeight="1">
      <c r="A2" s="14" t="inlineStr">
        <is>
          <t>Cycle #</t>
        </is>
      </c>
      <c r="B2" s="14" t="inlineStr">
        <is>
          <t>Name / release</t>
        </is>
      </c>
      <c r="C2" s="14" t="inlineStr">
        <is>
          <t>Build / Commit</t>
        </is>
      </c>
      <c r="D2" s="14" t="inlineStr">
        <is>
          <t>Start date</t>
        </is>
      </c>
      <c r="E2" s="14" t="inlineStr">
        <is>
          <t>End date</t>
        </is>
      </c>
      <c r="F2" s="14" t="inlineStr">
        <is>
          <t>Tester(s)</t>
        </is>
      </c>
      <c r="G2" s="14" t="inlineStr">
        <is>
          <t>Scope tested</t>
        </is>
      </c>
      <c r="H2" s="14" t="inlineStr">
        <is>
          <t>Cases run</t>
        </is>
      </c>
      <c r="I2" s="14" t="inlineStr">
        <is>
          <t>Passed</t>
        </is>
      </c>
      <c r="J2" s="14" t="inlineStr">
        <is>
          <t>Failed</t>
        </is>
      </c>
      <c r="K2" s="14" t="inlineStr">
        <is>
          <t>Blocked</t>
        </is>
      </c>
      <c r="L2" s="14" t="inlineStr">
        <is>
          <t>Pass rate</t>
        </is>
      </c>
      <c r="M2" s="14" t="inlineStr">
        <is>
          <t>Open Critical</t>
        </is>
      </c>
      <c r="N2" s="14" t="inlineStr">
        <is>
          <t>Open Major</t>
        </is>
      </c>
      <c r="O2" s="14" t="inlineStr">
        <is>
          <t>Go / No-Go</t>
        </is>
      </c>
      <c r="P2" s="14" t="inlineStr">
        <is>
          <t>Decided by</t>
        </is>
      </c>
      <c r="Q2" s="14" t="inlineStr">
        <is>
          <t>Notes</t>
        </is>
      </c>
    </row>
    <row r="3" ht="64" customHeight="1">
      <c r="A3" s="16" t="n">
        <v>1</v>
      </c>
      <c r="B3" s="16" t="inlineStr">
        <is>
          <t>Recette QA initiale</t>
        </is>
      </c>
      <c r="C3" s="16" t="inlineStr">
        <is>
          <t>42601e8</t>
        </is>
      </c>
      <c r="D3" s="16" t="inlineStr">
        <is>
          <t>2026-07-22</t>
        </is>
      </c>
      <c r="E3" s="16" t="inlineStr">
        <is>
          <t>2026-07-22</t>
        </is>
      </c>
      <c r="F3" s="16" t="inlineStr">
        <is>
          <t>Othman + Claude</t>
        </is>
      </c>
      <c r="G3" s="16" t="inlineStr">
        <is>
          <t>Pages publiques (accueil, connexion, pré-inscription) × 6 tailles ; tableaux de bord × 7 rôles ; parcours mot de passe oublié ; suites automatisées complètes.</t>
        </is>
      </c>
      <c r="H3" s="16" t="n">
        <v>26</v>
      </c>
      <c r="I3" s="16" t="n">
        <v>22</v>
      </c>
      <c r="J3" s="16" t="n">
        <v>4</v>
      </c>
      <c r="K3" s="16" t="n">
        <v>0</v>
      </c>
      <c r="L3" s="18">
        <f>IF(N(H3)=0,"",I3/H3)</f>
        <v/>
      </c>
      <c r="M3" s="16" t="n">
        <v>0</v>
      </c>
      <c r="N3" s="16" t="n">
        <v>0</v>
      </c>
      <c r="O3" s="21" t="inlineStr">
        <is>
          <t>GO</t>
        </is>
      </c>
      <c r="P3" s="16" t="inlineStr">
        <is>
          <t>Othman</t>
        </is>
      </c>
      <c r="Q3" s="16" t="inlineStr">
        <is>
          <t>4 défauts trouvés et corrigés le jour même. 3 demandes livrées. core 54/54 · serveur 15/15 · e2e 131/131 · CI verte · vérifié sur le site réel.</t>
        </is>
      </c>
    </row>
    <row r="4">
      <c r="A4" s="16" t="n"/>
      <c r="B4" s="16" t="n"/>
      <c r="C4" s="16" t="n"/>
      <c r="D4" s="16" t="n"/>
      <c r="E4" s="16" t="n"/>
      <c r="F4" s="16" t="n"/>
      <c r="G4" s="16" t="n"/>
      <c r="H4" s="16" t="n"/>
      <c r="I4" s="16" t="n"/>
      <c r="J4" s="16" t="n"/>
      <c r="K4" s="16" t="n"/>
      <c r="L4" s="18">
        <f>IF(N(H4)=0,"",I4/H4)</f>
        <v/>
      </c>
      <c r="M4" s="16" t="n"/>
      <c r="N4" s="16" t="n"/>
      <c r="O4" s="16" t="n"/>
      <c r="P4" s="16" t="n"/>
      <c r="Q4" s="16" t="n"/>
    </row>
    <row r="5">
      <c r="A5" s="16" t="n"/>
      <c r="B5" s="16" t="n"/>
      <c r="C5" s="16" t="n"/>
      <c r="D5" s="16" t="n"/>
      <c r="E5" s="16" t="n"/>
      <c r="F5" s="16" t="n"/>
      <c r="G5" s="16" t="n"/>
      <c r="H5" s="16" t="n"/>
      <c r="I5" s="16" t="n"/>
      <c r="J5" s="16" t="n"/>
      <c r="K5" s="16" t="n"/>
      <c r="L5" s="18">
        <f>IF(N(H5)=0,"",I5/H5)</f>
        <v/>
      </c>
      <c r="M5" s="16" t="n"/>
      <c r="N5" s="16" t="n"/>
      <c r="O5" s="16" t="n"/>
      <c r="P5" s="16" t="n"/>
      <c r="Q5" s="16" t="n"/>
    </row>
    <row r="6">
      <c r="A6" s="16" t="n"/>
      <c r="B6" s="16" t="n"/>
      <c r="C6" s="16" t="n"/>
      <c r="D6" s="16" t="n"/>
      <c r="E6" s="16" t="n"/>
      <c r="F6" s="16" t="n"/>
      <c r="G6" s="16" t="n"/>
      <c r="H6" s="16" t="n"/>
      <c r="I6" s="16" t="n"/>
      <c r="J6" s="16" t="n"/>
      <c r="K6" s="16" t="n"/>
      <c r="L6" s="18">
        <f>IF(N(H6)=0,"",I6/H6)</f>
        <v/>
      </c>
      <c r="M6" s="16" t="n"/>
      <c r="N6" s="16" t="n"/>
      <c r="O6" s="16" t="n"/>
      <c r="P6" s="16" t="n"/>
      <c r="Q6" s="16" t="n"/>
    </row>
    <row r="7">
      <c r="A7" s="16" t="n"/>
      <c r="B7" s="16" t="n"/>
      <c r="C7" s="16" t="n"/>
      <c r="D7" s="16" t="n"/>
      <c r="E7" s="16" t="n"/>
      <c r="F7" s="16" t="n"/>
      <c r="G7" s="16" t="n"/>
      <c r="H7" s="16" t="n"/>
      <c r="I7" s="16" t="n"/>
      <c r="J7" s="16" t="n"/>
      <c r="K7" s="16" t="n"/>
      <c r="L7" s="18">
        <f>IF(N(H7)=0,"",I7/H7)</f>
        <v/>
      </c>
      <c r="M7" s="16" t="n"/>
      <c r="N7" s="16" t="n"/>
      <c r="O7" s="16" t="n"/>
      <c r="P7" s="16" t="n"/>
      <c r="Q7" s="16" t="n"/>
    </row>
    <row r="8">
      <c r="A8" s="16" t="n"/>
      <c r="B8" s="16" t="n"/>
      <c r="C8" s="16" t="n"/>
      <c r="D8" s="16" t="n"/>
      <c r="E8" s="16" t="n"/>
      <c r="F8" s="16" t="n"/>
      <c r="G8" s="16" t="n"/>
      <c r="H8" s="16" t="n"/>
      <c r="I8" s="16" t="n"/>
      <c r="J8" s="16" t="n"/>
      <c r="K8" s="16" t="n"/>
      <c r="L8" s="18">
        <f>IF(N(H8)=0,"",I8/H8)</f>
        <v/>
      </c>
      <c r="M8" s="16" t="n"/>
      <c r="N8" s="16" t="n"/>
      <c r="O8" s="16" t="n"/>
      <c r="P8" s="16" t="n"/>
      <c r="Q8" s="16" t="n"/>
    </row>
    <row r="9">
      <c r="A9" s="16" t="n"/>
      <c r="B9" s="16" t="n"/>
      <c r="C9" s="16" t="n"/>
      <c r="D9" s="16" t="n"/>
      <c r="E9" s="16" t="n"/>
      <c r="F9" s="16" t="n"/>
      <c r="G9" s="16" t="n"/>
      <c r="H9" s="16" t="n"/>
      <c r="I9" s="16" t="n"/>
      <c r="J9" s="16" t="n"/>
      <c r="K9" s="16" t="n"/>
      <c r="L9" s="18">
        <f>IF(N(H9)=0,"",I9/H9)</f>
        <v/>
      </c>
      <c r="M9" s="16" t="n"/>
      <c r="N9" s="16" t="n"/>
      <c r="O9" s="16" t="n"/>
      <c r="P9" s="16" t="n"/>
      <c r="Q9" s="16" t="n"/>
    </row>
    <row r="10">
      <c r="A10" s="16" t="n"/>
      <c r="B10" s="16" t="n"/>
      <c r="C10" s="16" t="n"/>
      <c r="D10" s="16" t="n"/>
      <c r="E10" s="16" t="n"/>
      <c r="F10" s="16" t="n"/>
      <c r="G10" s="16" t="n"/>
      <c r="H10" s="16" t="n"/>
      <c r="I10" s="16" t="n"/>
      <c r="J10" s="16" t="n"/>
      <c r="K10" s="16" t="n"/>
      <c r="L10" s="18">
        <f>IF(N(H10)=0,"",I10/H10)</f>
        <v/>
      </c>
      <c r="M10" s="16" t="n"/>
      <c r="N10" s="16" t="n"/>
      <c r="O10" s="16" t="n"/>
      <c r="P10" s="16" t="n"/>
      <c r="Q10" s="16" t="n"/>
    </row>
    <row r="11">
      <c r="A11" s="16" t="n"/>
      <c r="B11" s="16" t="n"/>
      <c r="C11" s="16" t="n"/>
      <c r="D11" s="16" t="n"/>
      <c r="E11" s="16" t="n"/>
      <c r="F11" s="16" t="n"/>
      <c r="G11" s="16" t="n"/>
      <c r="H11" s="16" t="n"/>
      <c r="I11" s="16" t="n"/>
      <c r="J11" s="16" t="n"/>
      <c r="K11" s="16" t="n"/>
      <c r="L11" s="18">
        <f>IF(N(H11)=0,"",I11/H11)</f>
        <v/>
      </c>
      <c r="M11" s="16" t="n"/>
      <c r="N11" s="16" t="n"/>
      <c r="O11" s="16" t="n"/>
      <c r="P11" s="16" t="n"/>
      <c r="Q11" s="16" t="n"/>
    </row>
    <row r="12">
      <c r="A12" s="16" t="n"/>
      <c r="B12" s="16" t="n"/>
      <c r="C12" s="16" t="n"/>
      <c r="D12" s="16" t="n"/>
      <c r="E12" s="16" t="n"/>
      <c r="F12" s="16" t="n"/>
      <c r="G12" s="16" t="n"/>
      <c r="H12" s="16" t="n"/>
      <c r="I12" s="16" t="n"/>
      <c r="J12" s="16" t="n"/>
      <c r="K12" s="16" t="n"/>
      <c r="L12" s="18">
        <f>IF(N(H12)=0,"",I12/H12)</f>
        <v/>
      </c>
      <c r="M12" s="16" t="n"/>
      <c r="N12" s="16" t="n"/>
      <c r="O12" s="16" t="n"/>
      <c r="P12" s="16" t="n"/>
      <c r="Q12" s="16" t="n"/>
    </row>
    <row r="13">
      <c r="A13" s="16" t="n"/>
      <c r="B13" s="16" t="n"/>
      <c r="C13" s="16" t="n"/>
      <c r="D13" s="16" t="n"/>
      <c r="E13" s="16" t="n"/>
      <c r="F13" s="16" t="n"/>
      <c r="G13" s="16" t="n"/>
      <c r="H13" s="16" t="n"/>
      <c r="I13" s="16" t="n"/>
      <c r="J13" s="16" t="n"/>
      <c r="K13" s="16" t="n"/>
      <c r="L13" s="18">
        <f>IF(N(H13)=0,"",I13/H13)</f>
        <v/>
      </c>
      <c r="M13" s="16" t="n"/>
      <c r="N13" s="16" t="n"/>
      <c r="O13" s="16" t="n"/>
      <c r="P13" s="16" t="n"/>
      <c r="Q13" s="16" t="n"/>
    </row>
    <row r="14">
      <c r="A14" s="16" t="n"/>
      <c r="B14" s="16" t="n"/>
      <c r="C14" s="16" t="n"/>
      <c r="D14" s="16" t="n"/>
      <c r="E14" s="16" t="n"/>
      <c r="F14" s="16" t="n"/>
      <c r="G14" s="16" t="n"/>
      <c r="H14" s="16" t="n"/>
      <c r="I14" s="16" t="n"/>
      <c r="J14" s="16" t="n"/>
      <c r="K14" s="16" t="n"/>
      <c r="L14" s="18">
        <f>IF(N(H14)=0,"",I14/H14)</f>
        <v/>
      </c>
      <c r="M14" s="16" t="n"/>
      <c r="N14" s="16" t="n"/>
      <c r="O14" s="16" t="n"/>
      <c r="P14" s="16" t="n"/>
      <c r="Q14" s="16" t="n"/>
    </row>
    <row r="15">
      <c r="A15" s="16" t="n"/>
      <c r="B15" s="16" t="n"/>
      <c r="C15" s="16" t="n"/>
      <c r="D15" s="16" t="n"/>
      <c r="E15" s="16" t="n"/>
      <c r="F15" s="16" t="n"/>
      <c r="G15" s="16" t="n"/>
      <c r="H15" s="16" t="n"/>
      <c r="I15" s="16" t="n"/>
      <c r="J15" s="16" t="n"/>
      <c r="K15" s="16" t="n"/>
      <c r="L15" s="18">
        <f>IF(N(H15)=0,"",I15/H15)</f>
        <v/>
      </c>
      <c r="M15" s="16" t="n"/>
      <c r="N15" s="16" t="n"/>
      <c r="O15" s="16" t="n"/>
      <c r="P15" s="16" t="n"/>
      <c r="Q15" s="16" t="n"/>
    </row>
    <row r="16">
      <c r="A16" s="16" t="n"/>
      <c r="B16" s="16" t="n"/>
      <c r="C16" s="16" t="n"/>
      <c r="D16" s="16" t="n"/>
      <c r="E16" s="16" t="n"/>
      <c r="F16" s="16" t="n"/>
      <c r="G16" s="16" t="n"/>
      <c r="H16" s="16" t="n"/>
      <c r="I16" s="16" t="n"/>
      <c r="J16" s="16" t="n"/>
      <c r="K16" s="16" t="n"/>
      <c r="L16" s="18">
        <f>IF(N(H16)=0,"",I16/H16)</f>
        <v/>
      </c>
      <c r="M16" s="16" t="n"/>
      <c r="N16" s="16" t="n"/>
      <c r="O16" s="16" t="n"/>
      <c r="P16" s="16" t="n"/>
      <c r="Q16" s="16" t="n"/>
    </row>
    <row r="17">
      <c r="A17" s="16" t="n"/>
      <c r="B17" s="16" t="n"/>
      <c r="C17" s="16" t="n"/>
      <c r="D17" s="16" t="n"/>
      <c r="E17" s="16" t="n"/>
      <c r="F17" s="16" t="n"/>
      <c r="G17" s="16" t="n"/>
      <c r="H17" s="16" t="n"/>
      <c r="I17" s="16" t="n"/>
      <c r="J17" s="16" t="n"/>
      <c r="K17" s="16" t="n"/>
      <c r="L17" s="18">
        <f>IF(N(H17)=0,"",I17/H17)</f>
        <v/>
      </c>
      <c r="M17" s="16" t="n"/>
      <c r="N17" s="16" t="n"/>
      <c r="O17" s="16" t="n"/>
      <c r="P17" s="16" t="n"/>
      <c r="Q17" s="16" t="n"/>
    </row>
    <row r="18">
      <c r="A18" s="16" t="n"/>
      <c r="B18" s="16" t="n"/>
      <c r="C18" s="16" t="n"/>
      <c r="D18" s="16" t="n"/>
      <c r="E18" s="16" t="n"/>
      <c r="F18" s="16" t="n"/>
      <c r="G18" s="16" t="n"/>
      <c r="H18" s="16" t="n"/>
      <c r="I18" s="16" t="n"/>
      <c r="J18" s="16" t="n"/>
      <c r="K18" s="16" t="n"/>
      <c r="L18" s="18">
        <f>IF(N(H18)=0,"",I18/H18)</f>
        <v/>
      </c>
      <c r="M18" s="16" t="n"/>
      <c r="N18" s="16" t="n"/>
      <c r="O18" s="16" t="n"/>
      <c r="P18" s="16" t="n"/>
      <c r="Q18" s="16" t="n"/>
    </row>
    <row r="19">
      <c r="A19" s="16" t="n"/>
      <c r="B19" s="16" t="n"/>
      <c r="C19" s="16" t="n"/>
      <c r="D19" s="16" t="n"/>
      <c r="E19" s="16" t="n"/>
      <c r="F19" s="16" t="n"/>
      <c r="G19" s="16" t="n"/>
      <c r="H19" s="16" t="n"/>
      <c r="I19" s="16" t="n"/>
      <c r="J19" s="16" t="n"/>
      <c r="K19" s="16" t="n"/>
      <c r="L19" s="18">
        <f>IF(N(H19)=0,"",I19/H19)</f>
        <v/>
      </c>
      <c r="M19" s="16" t="n"/>
      <c r="N19" s="16" t="n"/>
      <c r="O19" s="16" t="n"/>
      <c r="P19" s="16" t="n"/>
      <c r="Q19" s="16" t="n"/>
    </row>
    <row r="20">
      <c r="A20" s="16" t="n"/>
      <c r="B20" s="16" t="n"/>
      <c r="C20" s="16" t="n"/>
      <c r="D20" s="16" t="n"/>
      <c r="E20" s="16" t="n"/>
      <c r="F20" s="16" t="n"/>
      <c r="G20" s="16" t="n"/>
      <c r="H20" s="16" t="n"/>
      <c r="I20" s="16" t="n"/>
      <c r="J20" s="16" t="n"/>
      <c r="K20" s="16" t="n"/>
      <c r="L20" s="18">
        <f>IF(N(H20)=0,"",I20/H20)</f>
        <v/>
      </c>
      <c r="M20" s="16" t="n"/>
      <c r="N20" s="16" t="n"/>
      <c r="O20" s="16" t="n"/>
      <c r="P20" s="16" t="n"/>
      <c r="Q20" s="16" t="n"/>
    </row>
    <row r="21">
      <c r="A21" s="16" t="n"/>
      <c r="B21" s="16" t="n"/>
      <c r="C21" s="16" t="n"/>
      <c r="D21" s="16" t="n"/>
      <c r="E21" s="16" t="n"/>
      <c r="F21" s="16" t="n"/>
      <c r="G21" s="16" t="n"/>
      <c r="H21" s="16" t="n"/>
      <c r="I21" s="16" t="n"/>
      <c r="J21" s="16" t="n"/>
      <c r="K21" s="16" t="n"/>
      <c r="L21" s="18">
        <f>IF(N(H21)=0,"",I21/H21)</f>
        <v/>
      </c>
      <c r="M21" s="16" t="n"/>
      <c r="N21" s="16" t="n"/>
      <c r="O21" s="16" t="n"/>
      <c r="P21" s="16" t="n"/>
      <c r="Q21" s="16" t="n"/>
    </row>
    <row r="22">
      <c r="A22" s="16" t="n"/>
      <c r="B22" s="16" t="n"/>
      <c r="C22" s="16" t="n"/>
      <c r="D22" s="16" t="n"/>
      <c r="E22" s="16" t="n"/>
      <c r="F22" s="16" t="n"/>
      <c r="G22" s="16" t="n"/>
      <c r="H22" s="16" t="n"/>
      <c r="I22" s="16" t="n"/>
      <c r="J22" s="16" t="n"/>
      <c r="K22" s="16" t="n"/>
      <c r="L22" s="18">
        <f>IF(N(H22)=0,"",I22/H22)</f>
        <v/>
      </c>
      <c r="M22" s="16" t="n"/>
      <c r="N22" s="16" t="n"/>
      <c r="O22" s="16" t="n"/>
      <c r="P22" s="16" t="n"/>
      <c r="Q22" s="16" t="n"/>
    </row>
    <row r="23">
      <c r="A23" s="16" t="n"/>
      <c r="B23" s="16" t="n"/>
      <c r="C23" s="16" t="n"/>
      <c r="D23" s="16" t="n"/>
      <c r="E23" s="16" t="n"/>
      <c r="F23" s="16" t="n"/>
      <c r="G23" s="16" t="n"/>
      <c r="H23" s="16" t="n"/>
      <c r="I23" s="16" t="n"/>
      <c r="J23" s="16" t="n"/>
      <c r="K23" s="16" t="n"/>
      <c r="L23" s="18">
        <f>IF(N(H23)=0,"",I23/H23)</f>
        <v/>
      </c>
      <c r="M23" s="16" t="n"/>
      <c r="N23" s="16" t="n"/>
      <c r="O23" s="16" t="n"/>
      <c r="P23" s="16" t="n"/>
      <c r="Q23" s="16" t="n"/>
    </row>
    <row r="24">
      <c r="A24" s="16" t="n"/>
      <c r="B24" s="16" t="n"/>
      <c r="C24" s="16" t="n"/>
      <c r="D24" s="16" t="n"/>
      <c r="E24" s="16" t="n"/>
      <c r="F24" s="16" t="n"/>
      <c r="G24" s="16" t="n"/>
      <c r="H24" s="16" t="n"/>
      <c r="I24" s="16" t="n"/>
      <c r="J24" s="16" t="n"/>
      <c r="K24" s="16" t="n"/>
      <c r="L24" s="18">
        <f>IF(N(H24)=0,"",I24/H24)</f>
        <v/>
      </c>
      <c r="M24" s="16" t="n"/>
      <c r="N24" s="16" t="n"/>
      <c r="O24" s="16" t="n"/>
      <c r="P24" s="16" t="n"/>
      <c r="Q24" s="16" t="n"/>
    </row>
    <row r="25">
      <c r="A25" s="16" t="n"/>
      <c r="B25" s="16" t="n"/>
      <c r="C25" s="16" t="n"/>
      <c r="D25" s="16" t="n"/>
      <c r="E25" s="16" t="n"/>
      <c r="F25" s="16" t="n"/>
      <c r="G25" s="16" t="n"/>
      <c r="H25" s="16" t="n"/>
      <c r="I25" s="16" t="n"/>
      <c r="J25" s="16" t="n"/>
      <c r="K25" s="16" t="n"/>
      <c r="L25" s="18">
        <f>IF(N(H25)=0,"",I25/H25)</f>
        <v/>
      </c>
      <c r="M25" s="16" t="n"/>
      <c r="N25" s="16" t="n"/>
      <c r="O25" s="16" t="n"/>
      <c r="P25" s="16" t="n"/>
      <c r="Q25" s="16" t="n"/>
    </row>
    <row r="26">
      <c r="A26" s="16" t="n"/>
      <c r="B26" s="16" t="n"/>
      <c r="C26" s="16" t="n"/>
      <c r="D26" s="16" t="n"/>
      <c r="E26" s="16" t="n"/>
      <c r="F26" s="16" t="n"/>
      <c r="G26" s="16" t="n"/>
      <c r="H26" s="16" t="n"/>
      <c r="I26" s="16" t="n"/>
      <c r="J26" s="16" t="n"/>
      <c r="K26" s="16" t="n"/>
      <c r="L26" s="18">
        <f>IF(N(H26)=0,"",I26/H26)</f>
        <v/>
      </c>
      <c r="M26" s="16" t="n"/>
      <c r="N26" s="16" t="n"/>
      <c r="O26" s="16" t="n"/>
      <c r="P26" s="16" t="n"/>
      <c r="Q26" s="16" t="n"/>
    </row>
    <row r="27">
      <c r="A27" s="16" t="n"/>
      <c r="B27" s="16" t="n"/>
      <c r="C27" s="16" t="n"/>
      <c r="D27" s="16" t="n"/>
      <c r="E27" s="16" t="n"/>
      <c r="F27" s="16" t="n"/>
      <c r="G27" s="16" t="n"/>
      <c r="H27" s="16" t="n"/>
      <c r="I27" s="16" t="n"/>
      <c r="J27" s="16" t="n"/>
      <c r="K27" s="16" t="n"/>
      <c r="L27" s="18">
        <f>IF(N(H27)=0,"",I27/H27)</f>
        <v/>
      </c>
      <c r="M27" s="16" t="n"/>
      <c r="N27" s="16" t="n"/>
      <c r="O27" s="16" t="n"/>
      <c r="P27" s="16" t="n"/>
      <c r="Q27" s="16" t="n"/>
    </row>
    <row r="28">
      <c r="A28" s="16" t="n"/>
      <c r="B28" s="16" t="n"/>
      <c r="C28" s="16" t="n"/>
      <c r="D28" s="16" t="n"/>
      <c r="E28" s="16" t="n"/>
      <c r="F28" s="16" t="n"/>
      <c r="G28" s="16" t="n"/>
      <c r="H28" s="16" t="n"/>
      <c r="I28" s="16" t="n"/>
      <c r="J28" s="16" t="n"/>
      <c r="K28" s="16" t="n"/>
      <c r="L28" s="18">
        <f>IF(N(H28)=0,"",I28/H28)</f>
        <v/>
      </c>
      <c r="M28" s="16" t="n"/>
      <c r="N28" s="16" t="n"/>
      <c r="O28" s="16" t="n"/>
      <c r="P28" s="16" t="n"/>
      <c r="Q28" s="16" t="n"/>
    </row>
    <row r="29">
      <c r="A29" s="16" t="n"/>
      <c r="B29" s="16" t="n"/>
      <c r="C29" s="16" t="n"/>
      <c r="D29" s="16" t="n"/>
      <c r="E29" s="16" t="n"/>
      <c r="F29" s="16" t="n"/>
      <c r="G29" s="16" t="n"/>
      <c r="H29" s="16" t="n"/>
      <c r="I29" s="16" t="n"/>
      <c r="J29" s="16" t="n"/>
      <c r="K29" s="16" t="n"/>
      <c r="L29" s="18">
        <f>IF(N(H29)=0,"",I29/H29)</f>
        <v/>
      </c>
      <c r="M29" s="16" t="n"/>
      <c r="N29" s="16" t="n"/>
      <c r="O29" s="16" t="n"/>
      <c r="P29" s="16" t="n"/>
      <c r="Q29" s="16" t="n"/>
    </row>
    <row r="30">
      <c r="A30" s="16" t="n"/>
      <c r="B30" s="16" t="n"/>
      <c r="C30" s="16" t="n"/>
      <c r="D30" s="16" t="n"/>
      <c r="E30" s="16" t="n"/>
      <c r="F30" s="16" t="n"/>
      <c r="G30" s="16" t="n"/>
      <c r="H30" s="16" t="n"/>
      <c r="I30" s="16" t="n"/>
      <c r="J30" s="16" t="n"/>
      <c r="K30" s="16" t="n"/>
      <c r="L30" s="18">
        <f>IF(N(H30)=0,"",I30/H30)</f>
        <v/>
      </c>
      <c r="M30" s="16" t="n"/>
      <c r="N30" s="16" t="n"/>
      <c r="O30" s="16" t="n"/>
      <c r="P30" s="16" t="n"/>
      <c r="Q30" s="16" t="n"/>
    </row>
    <row r="31">
      <c r="A31" s="16" t="n"/>
      <c r="B31" s="16" t="n"/>
      <c r="C31" s="16" t="n"/>
      <c r="D31" s="16" t="n"/>
      <c r="E31" s="16" t="n"/>
      <c r="F31" s="16" t="n"/>
      <c r="G31" s="16" t="n"/>
      <c r="H31" s="16" t="n"/>
      <c r="I31" s="16" t="n"/>
      <c r="J31" s="16" t="n"/>
      <c r="K31" s="16" t="n"/>
      <c r="L31" s="18">
        <f>IF(N(H31)=0,"",I31/H31)</f>
        <v/>
      </c>
      <c r="M31" s="16" t="n"/>
      <c r="N31" s="16" t="n"/>
      <c r="O31" s="16" t="n"/>
      <c r="P31" s="16" t="n"/>
      <c r="Q31" s="16" t="n"/>
    </row>
    <row r="32">
      <c r="A32" s="16" t="n"/>
      <c r="B32" s="16" t="n"/>
      <c r="C32" s="16" t="n"/>
      <c r="D32" s="16" t="n"/>
      <c r="E32" s="16" t="n"/>
      <c r="F32" s="16" t="n"/>
      <c r="G32" s="16" t="n"/>
      <c r="H32" s="16" t="n"/>
      <c r="I32" s="16" t="n"/>
      <c r="J32" s="16" t="n"/>
      <c r="K32" s="16" t="n"/>
      <c r="L32" s="18">
        <f>IF(N(H32)=0,"",I32/H32)</f>
        <v/>
      </c>
      <c r="M32" s="16" t="n"/>
      <c r="N32" s="16" t="n"/>
      <c r="O32" s="16" t="n"/>
      <c r="P32" s="16" t="n"/>
      <c r="Q32" s="16" t="n"/>
    </row>
    <row r="33">
      <c r="A33" s="16" t="n"/>
      <c r="B33" s="16" t="n"/>
      <c r="C33" s="16" t="n"/>
      <c r="D33" s="16" t="n"/>
      <c r="E33" s="16" t="n"/>
      <c r="F33" s="16" t="n"/>
      <c r="G33" s="16" t="n"/>
      <c r="H33" s="16" t="n"/>
      <c r="I33" s="16" t="n"/>
      <c r="J33" s="16" t="n"/>
      <c r="K33" s="16" t="n"/>
      <c r="L33" s="18">
        <f>IF(N(H33)=0,"",I33/H33)</f>
        <v/>
      </c>
      <c r="M33" s="16" t="n"/>
      <c r="N33" s="16" t="n"/>
      <c r="O33" s="16" t="n"/>
      <c r="P33" s="16" t="n"/>
      <c r="Q33" s="16" t="n"/>
    </row>
    <row r="34">
      <c r="A34" s="16" t="n"/>
      <c r="B34" s="16" t="n"/>
      <c r="C34" s="16" t="n"/>
      <c r="D34" s="16" t="n"/>
      <c r="E34" s="16" t="n"/>
      <c r="F34" s="16" t="n"/>
      <c r="G34" s="16" t="n"/>
      <c r="H34" s="16" t="n"/>
      <c r="I34" s="16" t="n"/>
      <c r="J34" s="16" t="n"/>
      <c r="K34" s="16" t="n"/>
      <c r="L34" s="18">
        <f>IF(N(H34)=0,"",I34/H34)</f>
        <v/>
      </c>
      <c r="M34" s="16" t="n"/>
      <c r="N34" s="16" t="n"/>
      <c r="O34" s="16" t="n"/>
      <c r="P34" s="16" t="n"/>
      <c r="Q34" s="16" t="n"/>
    </row>
    <row r="35">
      <c r="A35" s="16" t="n"/>
      <c r="B35" s="16" t="n"/>
      <c r="C35" s="16" t="n"/>
      <c r="D35" s="16" t="n"/>
      <c r="E35" s="16" t="n"/>
      <c r="F35" s="16" t="n"/>
      <c r="G35" s="16" t="n"/>
      <c r="H35" s="16" t="n"/>
      <c r="I35" s="16" t="n"/>
      <c r="J35" s="16" t="n"/>
      <c r="K35" s="16" t="n"/>
      <c r="L35" s="18">
        <f>IF(N(H35)=0,"",I35/H35)</f>
        <v/>
      </c>
      <c r="M35" s="16" t="n"/>
      <c r="N35" s="16" t="n"/>
      <c r="O35" s="16" t="n"/>
      <c r="P35" s="16" t="n"/>
      <c r="Q35" s="16" t="n"/>
    </row>
    <row r="36">
      <c r="A36" s="16" t="n"/>
      <c r="B36" s="16" t="n"/>
      <c r="C36" s="16" t="n"/>
      <c r="D36" s="16" t="n"/>
      <c r="E36" s="16" t="n"/>
      <c r="F36" s="16" t="n"/>
      <c r="G36" s="16" t="n"/>
      <c r="H36" s="16" t="n"/>
      <c r="I36" s="16" t="n"/>
      <c r="J36" s="16" t="n"/>
      <c r="K36" s="16" t="n"/>
      <c r="L36" s="18">
        <f>IF(N(H36)=0,"",I36/H36)</f>
        <v/>
      </c>
      <c r="M36" s="16" t="n"/>
      <c r="N36" s="16" t="n"/>
      <c r="O36" s="16" t="n"/>
      <c r="P36" s="16" t="n"/>
      <c r="Q36" s="16" t="n"/>
    </row>
    <row r="37">
      <c r="A37" s="16" t="n"/>
      <c r="B37" s="16" t="n"/>
      <c r="C37" s="16" t="n"/>
      <c r="D37" s="16" t="n"/>
      <c r="E37" s="16" t="n"/>
      <c r="F37" s="16" t="n"/>
      <c r="G37" s="16" t="n"/>
      <c r="H37" s="16" t="n"/>
      <c r="I37" s="16" t="n"/>
      <c r="J37" s="16" t="n"/>
      <c r="K37" s="16" t="n"/>
      <c r="L37" s="18">
        <f>IF(N(H37)=0,"",I37/H37)</f>
        <v/>
      </c>
      <c r="M37" s="16" t="n"/>
      <c r="N37" s="16" t="n"/>
      <c r="O37" s="16" t="n"/>
      <c r="P37" s="16" t="n"/>
      <c r="Q37" s="16" t="n"/>
    </row>
    <row r="38">
      <c r="A38" s="16" t="n"/>
      <c r="B38" s="16" t="n"/>
      <c r="C38" s="16" t="n"/>
      <c r="D38" s="16" t="n"/>
      <c r="E38" s="16" t="n"/>
      <c r="F38" s="16" t="n"/>
      <c r="G38" s="16" t="n"/>
      <c r="H38" s="16" t="n"/>
      <c r="I38" s="16" t="n"/>
      <c r="J38" s="16" t="n"/>
      <c r="K38" s="16" t="n"/>
      <c r="L38" s="18">
        <f>IF(N(H38)=0,"",I38/H38)</f>
        <v/>
      </c>
      <c r="M38" s="16" t="n"/>
      <c r="N38" s="16" t="n"/>
      <c r="O38" s="16" t="n"/>
      <c r="P38" s="16" t="n"/>
      <c r="Q38" s="16" t="n"/>
    </row>
    <row r="39">
      <c r="A39" s="16" t="n"/>
      <c r="B39" s="16" t="n"/>
      <c r="C39" s="16" t="n"/>
      <c r="D39" s="16" t="n"/>
      <c r="E39" s="16" t="n"/>
      <c r="F39" s="16" t="n"/>
      <c r="G39" s="16" t="n"/>
      <c r="H39" s="16" t="n"/>
      <c r="I39" s="16" t="n"/>
      <c r="J39" s="16" t="n"/>
      <c r="K39" s="16" t="n"/>
      <c r="L39" s="18">
        <f>IF(N(H39)=0,"",I39/H39)</f>
        <v/>
      </c>
      <c r="M39" s="16" t="n"/>
      <c r="N39" s="16" t="n"/>
      <c r="O39" s="16" t="n"/>
      <c r="P39" s="16" t="n"/>
      <c r="Q39" s="16" t="n"/>
    </row>
    <row r="40">
      <c r="A40" s="16" t="n"/>
      <c r="B40" s="16" t="n"/>
      <c r="C40" s="16" t="n"/>
      <c r="D40" s="16" t="n"/>
      <c r="E40" s="16" t="n"/>
      <c r="F40" s="16" t="n"/>
      <c r="G40" s="16" t="n"/>
      <c r="H40" s="16" t="n"/>
      <c r="I40" s="16" t="n"/>
      <c r="J40" s="16" t="n"/>
      <c r="K40" s="16" t="n"/>
      <c r="L40" s="18">
        <f>IF(N(H40)=0,"",I40/H40)</f>
        <v/>
      </c>
      <c r="M40" s="16" t="n"/>
      <c r="N40" s="16" t="n"/>
      <c r="O40" s="16" t="n"/>
      <c r="P40" s="16" t="n"/>
      <c r="Q40" s="16" t="n"/>
    </row>
    <row r="41">
      <c r="A41" s="16" t="n"/>
      <c r="B41" s="16" t="n"/>
      <c r="C41" s="16" t="n"/>
      <c r="D41" s="16" t="n"/>
      <c r="E41" s="16" t="n"/>
      <c r="F41" s="16" t="n"/>
      <c r="G41" s="16" t="n"/>
      <c r="H41" s="16" t="n"/>
      <c r="I41" s="16" t="n"/>
      <c r="J41" s="16" t="n"/>
      <c r="K41" s="16" t="n"/>
      <c r="L41" s="18">
        <f>IF(N(H41)=0,"",I41/H41)</f>
        <v/>
      </c>
      <c r="M41" s="16" t="n"/>
      <c r="N41" s="16" t="n"/>
      <c r="O41" s="16" t="n"/>
      <c r="P41" s="16" t="n"/>
      <c r="Q41" s="16" t="n"/>
    </row>
    <row r="42">
      <c r="A42" s="16" t="n"/>
      <c r="B42" s="16" t="n"/>
      <c r="C42" s="16" t="n"/>
      <c r="D42" s="16" t="n"/>
      <c r="E42" s="16" t="n"/>
      <c r="F42" s="16" t="n"/>
      <c r="G42" s="16" t="n"/>
      <c r="H42" s="16" t="n"/>
      <c r="I42" s="16" t="n"/>
      <c r="J42" s="16" t="n"/>
      <c r="K42" s="16" t="n"/>
      <c r="L42" s="18">
        <f>IF(N(H42)=0,"",I42/H42)</f>
        <v/>
      </c>
      <c r="M42" s="16" t="n"/>
      <c r="N42" s="16" t="n"/>
      <c r="O42" s="16" t="n"/>
      <c r="P42" s="16" t="n"/>
      <c r="Q42" s="16" t="n"/>
    </row>
    <row r="43">
      <c r="A43" s="16" t="n"/>
      <c r="B43" s="16" t="n"/>
      <c r="C43" s="16" t="n"/>
      <c r="D43" s="16" t="n"/>
      <c r="E43" s="16" t="n"/>
      <c r="F43" s="16" t="n"/>
      <c r="G43" s="16" t="n"/>
      <c r="H43" s="16" t="n"/>
      <c r="I43" s="16" t="n"/>
      <c r="J43" s="16" t="n"/>
      <c r="K43" s="16" t="n"/>
      <c r="L43" s="18">
        <f>IF(N(H43)=0,"",I43/H43)</f>
        <v/>
      </c>
      <c r="M43" s="16" t="n"/>
      <c r="N43" s="16" t="n"/>
      <c r="O43" s="16" t="n"/>
      <c r="P43" s="16" t="n"/>
      <c r="Q43" s="16" t="n"/>
    </row>
    <row r="44">
      <c r="A44" s="16" t="n"/>
      <c r="B44" s="16" t="n"/>
      <c r="C44" s="16" t="n"/>
      <c r="D44" s="16" t="n"/>
      <c r="E44" s="16" t="n"/>
      <c r="F44" s="16" t="n"/>
      <c r="G44" s="16" t="n"/>
      <c r="H44" s="16" t="n"/>
      <c r="I44" s="16" t="n"/>
      <c r="J44" s="16" t="n"/>
      <c r="K44" s="16" t="n"/>
      <c r="L44" s="18">
        <f>IF(N(H44)=0,"",I44/H44)</f>
        <v/>
      </c>
      <c r="M44" s="16" t="n"/>
      <c r="N44" s="16" t="n"/>
      <c r="O44" s="16" t="n"/>
      <c r="P44" s="16" t="n"/>
      <c r="Q44" s="16" t="n"/>
    </row>
    <row r="45">
      <c r="A45" s="16" t="n"/>
      <c r="B45" s="16" t="n"/>
      <c r="C45" s="16" t="n"/>
      <c r="D45" s="16" t="n"/>
      <c r="E45" s="16" t="n"/>
      <c r="F45" s="16" t="n"/>
      <c r="G45" s="16" t="n"/>
      <c r="H45" s="16" t="n"/>
      <c r="I45" s="16" t="n"/>
      <c r="J45" s="16" t="n"/>
      <c r="K45" s="16" t="n"/>
      <c r="L45" s="18">
        <f>IF(N(H45)=0,"",I45/H45)</f>
        <v/>
      </c>
      <c r="M45" s="16" t="n"/>
      <c r="N45" s="16" t="n"/>
      <c r="O45" s="16" t="n"/>
      <c r="P45" s="16" t="n"/>
      <c r="Q45" s="16" t="n"/>
    </row>
    <row r="46">
      <c r="A46" s="16" t="n"/>
      <c r="B46" s="16" t="n"/>
      <c r="C46" s="16" t="n"/>
      <c r="D46" s="16" t="n"/>
      <c r="E46" s="16" t="n"/>
      <c r="F46" s="16" t="n"/>
      <c r="G46" s="16" t="n"/>
      <c r="H46" s="16" t="n"/>
      <c r="I46" s="16" t="n"/>
      <c r="J46" s="16" t="n"/>
      <c r="K46" s="16" t="n"/>
      <c r="L46" s="18">
        <f>IF(N(H46)=0,"",I46/H46)</f>
        <v/>
      </c>
      <c r="M46" s="16" t="n"/>
      <c r="N46" s="16" t="n"/>
      <c r="O46" s="16" t="n"/>
      <c r="P46" s="16" t="n"/>
      <c r="Q46" s="16" t="n"/>
    </row>
    <row r="47">
      <c r="A47" s="16" t="n"/>
      <c r="B47" s="16" t="n"/>
      <c r="C47" s="16" t="n"/>
      <c r="D47" s="16" t="n"/>
      <c r="E47" s="16" t="n"/>
      <c r="F47" s="16" t="n"/>
      <c r="G47" s="16" t="n"/>
      <c r="H47" s="16" t="n"/>
      <c r="I47" s="16" t="n"/>
      <c r="J47" s="16" t="n"/>
      <c r="K47" s="16" t="n"/>
      <c r="L47" s="18">
        <f>IF(N(H47)=0,"",I47/H47)</f>
        <v/>
      </c>
      <c r="M47" s="16" t="n"/>
      <c r="N47" s="16" t="n"/>
      <c r="O47" s="16" t="n"/>
      <c r="P47" s="16" t="n"/>
      <c r="Q47" s="16" t="n"/>
    </row>
    <row r="48">
      <c r="A48" s="16" t="n"/>
      <c r="B48" s="16" t="n"/>
      <c r="C48" s="16" t="n"/>
      <c r="D48" s="16" t="n"/>
      <c r="E48" s="16" t="n"/>
      <c r="F48" s="16" t="n"/>
      <c r="G48" s="16" t="n"/>
      <c r="H48" s="16" t="n"/>
      <c r="I48" s="16" t="n"/>
      <c r="J48" s="16" t="n"/>
      <c r="K48" s="16" t="n"/>
      <c r="L48" s="18">
        <f>IF(N(H48)=0,"",I48/H48)</f>
        <v/>
      </c>
      <c r="M48" s="16" t="n"/>
      <c r="N48" s="16" t="n"/>
      <c r="O48" s="16" t="n"/>
      <c r="P48" s="16" t="n"/>
      <c r="Q48" s="16" t="n"/>
    </row>
    <row r="49">
      <c r="A49" s="16" t="n"/>
      <c r="B49" s="16" t="n"/>
      <c r="C49" s="16" t="n"/>
      <c r="D49" s="16" t="n"/>
      <c r="E49" s="16" t="n"/>
      <c r="F49" s="16" t="n"/>
      <c r="G49" s="16" t="n"/>
      <c r="H49" s="16" t="n"/>
      <c r="I49" s="16" t="n"/>
      <c r="J49" s="16" t="n"/>
      <c r="K49" s="16" t="n"/>
      <c r="L49" s="18">
        <f>IF(N(H49)=0,"",I49/H49)</f>
        <v/>
      </c>
      <c r="M49" s="16" t="n"/>
      <c r="N49" s="16" t="n"/>
      <c r="O49" s="16" t="n"/>
      <c r="P49" s="16" t="n"/>
      <c r="Q49" s="16" t="n"/>
    </row>
    <row r="50">
      <c r="A50" s="16" t="n"/>
      <c r="B50" s="16" t="n"/>
      <c r="C50" s="16" t="n"/>
      <c r="D50" s="16" t="n"/>
      <c r="E50" s="16" t="n"/>
      <c r="F50" s="16" t="n"/>
      <c r="G50" s="16" t="n"/>
      <c r="H50" s="16" t="n"/>
      <c r="I50" s="16" t="n"/>
      <c r="J50" s="16" t="n"/>
      <c r="K50" s="16" t="n"/>
      <c r="L50" s="18">
        <f>IF(N(H50)=0,"",I50/H50)</f>
        <v/>
      </c>
      <c r="M50" s="16" t="n"/>
      <c r="N50" s="16" t="n"/>
      <c r="O50" s="16" t="n"/>
      <c r="P50" s="16" t="n"/>
      <c r="Q50" s="16" t="n"/>
    </row>
    <row r="51">
      <c r="A51" s="16" t="n"/>
      <c r="B51" s="16" t="n"/>
      <c r="C51" s="16" t="n"/>
      <c r="D51" s="16" t="n"/>
      <c r="E51" s="16" t="n"/>
      <c r="F51" s="16" t="n"/>
      <c r="G51" s="16" t="n"/>
      <c r="H51" s="16" t="n"/>
      <c r="I51" s="16" t="n"/>
      <c r="J51" s="16" t="n"/>
      <c r="K51" s="16" t="n"/>
      <c r="L51" s="18">
        <f>IF(N(H51)=0,"",I51/H51)</f>
        <v/>
      </c>
      <c r="M51" s="16" t="n"/>
      <c r="N51" s="16" t="n"/>
      <c r="O51" s="16" t="n"/>
      <c r="P51" s="16" t="n"/>
      <c r="Q51" s="16" t="n"/>
    </row>
    <row r="52">
      <c r="A52" s="16" t="n"/>
      <c r="B52" s="16" t="n"/>
      <c r="C52" s="16" t="n"/>
      <c r="D52" s="16" t="n"/>
      <c r="E52" s="16" t="n"/>
      <c r="F52" s="16" t="n"/>
      <c r="G52" s="16" t="n"/>
      <c r="H52" s="16" t="n"/>
      <c r="I52" s="16" t="n"/>
      <c r="J52" s="16" t="n"/>
      <c r="K52" s="16" t="n"/>
      <c r="L52" s="18">
        <f>IF(N(H52)=0,"",I52/H52)</f>
        <v/>
      </c>
      <c r="M52" s="16" t="n"/>
      <c r="N52" s="16" t="n"/>
      <c r="O52" s="16" t="n"/>
      <c r="P52" s="16" t="n"/>
      <c r="Q52" s="16" t="n"/>
    </row>
    <row r="53">
      <c r="A53" s="16" t="n"/>
      <c r="B53" s="16" t="n"/>
      <c r="C53" s="16" t="n"/>
      <c r="D53" s="16" t="n"/>
      <c r="E53" s="16" t="n"/>
      <c r="F53" s="16" t="n"/>
      <c r="G53" s="16" t="n"/>
      <c r="H53" s="16" t="n"/>
      <c r="I53" s="16" t="n"/>
      <c r="J53" s="16" t="n"/>
      <c r="K53" s="16" t="n"/>
      <c r="L53" s="18">
        <f>IF(N(H53)=0,"",I53/H53)</f>
        <v/>
      </c>
      <c r="M53" s="16" t="n"/>
      <c r="N53" s="16" t="n"/>
      <c r="O53" s="16" t="n"/>
      <c r="P53" s="16" t="n"/>
      <c r="Q53" s="16" t="n"/>
    </row>
    <row r="54">
      <c r="A54" s="16" t="n"/>
      <c r="B54" s="16" t="n"/>
      <c r="C54" s="16" t="n"/>
      <c r="D54" s="16" t="n"/>
      <c r="E54" s="16" t="n"/>
      <c r="F54" s="16" t="n"/>
      <c r="G54" s="16" t="n"/>
      <c r="H54" s="16" t="n"/>
      <c r="I54" s="16" t="n"/>
      <c r="J54" s="16" t="n"/>
      <c r="K54" s="16" t="n"/>
      <c r="L54" s="18">
        <f>IF(N(H54)=0,"",I54/H54)</f>
        <v/>
      </c>
      <c r="M54" s="16" t="n"/>
      <c r="N54" s="16" t="n"/>
      <c r="O54" s="16" t="n"/>
      <c r="P54" s="16" t="n"/>
      <c r="Q54" s="16" t="n"/>
    </row>
    <row r="55">
      <c r="A55" s="16" t="n"/>
      <c r="B55" s="16" t="n"/>
      <c r="C55" s="16" t="n"/>
      <c r="D55" s="16" t="n"/>
      <c r="E55" s="16" t="n"/>
      <c r="F55" s="16" t="n"/>
      <c r="G55" s="16" t="n"/>
      <c r="H55" s="16" t="n"/>
      <c r="I55" s="16" t="n"/>
      <c r="J55" s="16" t="n"/>
      <c r="K55" s="16" t="n"/>
      <c r="L55" s="18">
        <f>IF(N(H55)=0,"",I55/H55)</f>
        <v/>
      </c>
      <c r="M55" s="16" t="n"/>
      <c r="N55" s="16" t="n"/>
      <c r="O55" s="16" t="n"/>
      <c r="P55" s="16" t="n"/>
      <c r="Q55" s="16" t="n"/>
    </row>
    <row r="56">
      <c r="A56" s="16" t="n"/>
      <c r="B56" s="16" t="n"/>
      <c r="C56" s="16" t="n"/>
      <c r="D56" s="16" t="n"/>
      <c r="E56" s="16" t="n"/>
      <c r="F56" s="16" t="n"/>
      <c r="G56" s="16" t="n"/>
      <c r="H56" s="16" t="n"/>
      <c r="I56" s="16" t="n"/>
      <c r="J56" s="16" t="n"/>
      <c r="K56" s="16" t="n"/>
      <c r="L56" s="18">
        <f>IF(N(H56)=0,"",I56/H56)</f>
        <v/>
      </c>
      <c r="M56" s="16" t="n"/>
      <c r="N56" s="16" t="n"/>
      <c r="O56" s="16" t="n"/>
      <c r="P56" s="16" t="n"/>
      <c r="Q56" s="16" t="n"/>
    </row>
    <row r="57">
      <c r="A57" s="16" t="n"/>
      <c r="B57" s="16" t="n"/>
      <c r="C57" s="16" t="n"/>
      <c r="D57" s="16" t="n"/>
      <c r="E57" s="16" t="n"/>
      <c r="F57" s="16" t="n"/>
      <c r="G57" s="16" t="n"/>
      <c r="H57" s="16" t="n"/>
      <c r="I57" s="16" t="n"/>
      <c r="J57" s="16" t="n"/>
      <c r="K57" s="16" t="n"/>
      <c r="L57" s="18">
        <f>IF(N(H57)=0,"",I57/H57)</f>
        <v/>
      </c>
      <c r="M57" s="16" t="n"/>
      <c r="N57" s="16" t="n"/>
      <c r="O57" s="16" t="n"/>
      <c r="P57" s="16" t="n"/>
      <c r="Q57" s="16" t="n"/>
    </row>
    <row r="58">
      <c r="A58" s="16" t="n"/>
      <c r="B58" s="16" t="n"/>
      <c r="C58" s="16" t="n"/>
      <c r="D58" s="16" t="n"/>
      <c r="E58" s="16" t="n"/>
      <c r="F58" s="16" t="n"/>
      <c r="G58" s="16" t="n"/>
      <c r="H58" s="16" t="n"/>
      <c r="I58" s="16" t="n"/>
      <c r="J58" s="16" t="n"/>
      <c r="K58" s="16" t="n"/>
      <c r="L58" s="18">
        <f>IF(N(H58)=0,"",I58/H58)</f>
        <v/>
      </c>
      <c r="M58" s="16" t="n"/>
      <c r="N58" s="16" t="n"/>
      <c r="O58" s="16" t="n"/>
      <c r="P58" s="16" t="n"/>
      <c r="Q58" s="16" t="n"/>
    </row>
    <row r="59">
      <c r="A59" s="16" t="n"/>
      <c r="B59" s="16" t="n"/>
      <c r="C59" s="16" t="n"/>
      <c r="D59" s="16" t="n"/>
      <c r="E59" s="16" t="n"/>
      <c r="F59" s="16" t="n"/>
      <c r="G59" s="16" t="n"/>
      <c r="H59" s="16" t="n"/>
      <c r="I59" s="16" t="n"/>
      <c r="J59" s="16" t="n"/>
      <c r="K59" s="16" t="n"/>
      <c r="L59" s="18">
        <f>IF(N(H59)=0,"",I59/H59)</f>
        <v/>
      </c>
      <c r="M59" s="16" t="n"/>
      <c r="N59" s="16" t="n"/>
      <c r="O59" s="16" t="n"/>
      <c r="P59" s="16" t="n"/>
      <c r="Q59" s="16" t="n"/>
    </row>
    <row r="60">
      <c r="A60" s="16" t="n"/>
      <c r="B60" s="16" t="n"/>
      <c r="C60" s="16" t="n"/>
      <c r="D60" s="16" t="n"/>
      <c r="E60" s="16" t="n"/>
      <c r="F60" s="16" t="n"/>
      <c r="G60" s="16" t="n"/>
      <c r="H60" s="16" t="n"/>
      <c r="I60" s="16" t="n"/>
      <c r="J60" s="16" t="n"/>
      <c r="K60" s="16" t="n"/>
      <c r="L60" s="18">
        <f>IF(N(H60)=0,"",I60/H60)</f>
        <v/>
      </c>
      <c r="M60" s="16" t="n"/>
      <c r="N60" s="16" t="n"/>
      <c r="O60" s="16" t="n"/>
      <c r="P60" s="16" t="n"/>
      <c r="Q60" s="16" t="n"/>
    </row>
  </sheetData>
  <autoFilter ref="A2:Q2"/>
  <mergeCells count="1">
    <mergeCell ref="A1:Q1"/>
  </mergeCells>
  <conditionalFormatting sqref="O3:O60">
    <cfRule type="cellIs" priority="1" operator="equal" dxfId="0">
      <formula>"GO"</formula>
    </cfRule>
    <cfRule type="cellIs" priority="2" operator="equal" dxfId="1">
      <formula>"NO-GO"</formula>
    </cfRule>
    <cfRule type="cellIs" priority="3" operator="equal" dxfId="2">
      <formula>"GO with conditions"</formula>
    </cfRule>
    <cfRule type="cellIs" priority="4" operator="equal" dxfId="3">
      <formula>"Pending"</formula>
    </cfRule>
  </conditionalFormatting>
  <dataValidations count="1">
    <dataValidation sqref="O3:O60" showDropDown="0" showInputMessage="0" showErrorMessage="0" allowBlank="1" type="list">
      <formula1>=Lists!$N$2:$N$5</formula1>
    </dataValidation>
  </dataValidations>
  <pageMargins left="0.75" right="0.75" top="1" bottom="1" header="0.5" footer="0.5"/>
</worksheet>
</file>

<file path=xl/worksheets/sheet9.xml><?xml version="1.0" encoding="utf-8"?>
<worksheet xmlns="http://schemas.openxmlformats.org/spreadsheetml/2006/main">
  <sheetPr>
    <tabColor rgb="0050596B"/>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8" customWidth="1" min="1" max="1"/>
    <col width="110" customWidth="1" min="2" max="2"/>
    <col width="40" customWidth="1" min="3" max="3"/>
  </cols>
  <sheetData>
    <row r="1" ht="26" customHeight="1">
      <c r="A1" s="13" t="inlineStr">
        <is>
          <t>YOUR ORIGINAL NOTES — kept word for word, never edited. Every row below is traced into the Defect Log or the Change Requests sheet.</t>
        </is>
      </c>
    </row>
    <row r="2" ht="42" customHeight="1">
      <c r="A2" s="14" t="inlineStr">
        <is>
          <t>Note #</t>
        </is>
      </c>
      <c r="B2" s="14" t="inlineStr">
        <is>
          <t>Issue as originally written</t>
        </is>
      </c>
      <c r="C2" s="14" t="inlineStr">
        <is>
          <t>Location as originally written</t>
        </is>
      </c>
    </row>
    <row r="3" ht="15" customHeight="1">
      <c r="A3" s="17" t="n">
        <v>1</v>
      </c>
      <c r="B3" s="16" t="inlineStr">
        <is>
          <t>remove this caracter : —  from all the product contents</t>
        </is>
      </c>
      <c r="C3" s="16" t="inlineStr">
        <is>
          <t>https://edu.kogiagroup.com/</t>
        </is>
      </c>
    </row>
    <row r="4" ht="15" customHeight="1">
      <c r="A4" s="17" t="n">
        <v>2</v>
      </c>
      <c r="B4" s="16" t="inlineStr">
        <is>
          <t>Deux mondes  what's this mean ?</t>
        </is>
      </c>
      <c r="C4" s="16" t="inlineStr">
        <is>
          <t>https://edu.kogiagroup.com/</t>
        </is>
      </c>
    </row>
    <row r="5" ht="15" customHeight="1">
      <c r="A5" s="17" t="n">
        <v>3</v>
      </c>
      <c r="B5" s="16" t="inlineStr">
        <is>
          <t>Tarifs simples : let's convert it to Euro better</t>
        </is>
      </c>
      <c r="C5" s="16" t="inlineStr">
        <is>
          <t>https://edu.kogiagroup.com/</t>
        </is>
      </c>
    </row>
    <row r="6" ht="15" customHeight="1">
      <c r="A6" s="17" t="n">
        <v>4</v>
      </c>
      <c r="B6" s="16" t="inlineStr">
        <is>
          <t>try to eliminate Tunisia atmosphere from all product contents</t>
        </is>
      </c>
      <c r="C6" s="16" t="inlineStr">
        <is>
          <t>all product elements</t>
        </is>
      </c>
    </row>
    <row r="7" ht="15" customHeight="1">
      <c r="A7" s="17" t="n">
        <v>5</v>
      </c>
      <c r="B7" s="16" t="inlineStr">
        <is>
          <t>redirect the product to be international let's say europian</t>
        </is>
      </c>
      <c r="C7" s="16" t="inlineStr">
        <is>
          <t>all product elements</t>
        </is>
      </c>
    </row>
    <row r="8" ht="26" customHeight="1">
      <c r="A8" s="17" t="n">
        <v>6</v>
      </c>
      <c r="B8" s="16" t="inlineStr">
        <is>
          <t>Deux mondes Modules Vos données TarifsFAQ  : when I click here nothing is change because all their contents all in same page just scroll down - so I don't like it solve it</t>
        </is>
      </c>
      <c r="C8" s="16" t="inlineStr">
        <is>
          <t>https://edu.kogiagroup.com/</t>
        </is>
      </c>
    </row>
    <row r="9" ht="15" customHeight="1">
      <c r="A9" s="17" t="n">
        <v>7</v>
      </c>
      <c r="B9" s="16" t="inlineStr">
        <is>
          <t>Pré-inscription form design I don’t like make more bigger in left-right sides</t>
        </is>
      </c>
      <c r="C9" s="16" t="inlineStr">
        <is>
          <t>https://edu.kogiagroup.com/#/inscription</t>
        </is>
      </c>
    </row>
    <row r="10" ht="114" customHeight="1">
      <c r="A10" s="17" t="n">
        <v>8</v>
      </c>
      <c r="B10" s="16" t="inlineStr">
        <is>
          <t>Pre-inscription form details : choose some new details from the following info and add them into our pre-inscription form ok ? 
Preschool Registration Form
Child's Name
First
Last
Date of Birth
Gender
Male
Male
Home Address
Street Address
Street Address Line 2
City
Region
Postal / Zip Code
Bahrain
Parents Details
Mother’s Name
First
Last
Phone
### ### #### 
Address
Street Address
Street Address Line 2
City
Region
Postal / Zip Code
Bahrain
Father’s Name
First
Last
Phone
### ### #### 
Address
Street Address
Street Address Line 2
City
Region
Postal / Zip Code
Bahrain
Child Health Conditions
Does your child suffer from any allergies, illness, disability or other medical conditions?
Yes
No
If yes, please describe
Is there any other information or issues you would like the teachers to know?
Preschool Information
Please select preffered programs
2 days tuition a week
3 days tuition a week
4 days tuition a week
5 days tuition a week
before school care
after school care
before &amp; after school care
SEND</t>
        </is>
      </c>
      <c r="C10" s="16" t="inlineStr">
        <is>
          <t>https://edu.kogiagroup.com/#/inscription</t>
        </is>
      </c>
    </row>
    <row r="11" ht="150" customHeight="1">
      <c r="A11" s="17" t="n">
        <v>9</v>
      </c>
      <c r="B11" s="16" t="inlineStr">
        <is>
          <t>pre-inscription ::  please check the following details and pick what it's good for our product like condition or agreements … 2019-20 Celebrating Children Preschool Registration Form 
Forms will be accepted on or after January 22, 2019 
Registration for (choose one): 
Yellow Class (3 &amp; 4 year old): 9:30-12:00 (Mon. &amp; Wed.) ________ 
Blue Class (3 &amp; 4 year old): 9:30-12:00 (Tues. &amp; Thurs.) ________ 
Green Class (4 &amp; 5 year old morning class):  9:30-12:00 (Tues. Wed. &amp; Thurs.) ________ 
Red Class (4 &amp; 5 year old afternoon class): 12:45-3:15 (Tues. Wed. &amp; Thurs.) ________ 
Purple High Five: 9:30-12:00 (Mon. Tues. Wed. &amp; Thurs.)________ 
Child’s Name              
Preferred Name          
_______  
Primary Phone    
Address (include City and Zip Code)          
Date of Birth        
________________ 
_____ _                  
Parent 1/Legal Guardian          
Male__________  Female__________ 
______ 
Parent 1 email address ___________________________________________________________ 
Occupation/Business Name        
____________ 
Parent 1 Work Phone ______________________Parent 1 Cell Phone ____________________      
Parent 2/Legal Guardian        
__________________ 
Parent 2 email address ___________________________________________________________ 
Occupation/Business Name         
Parent 2 Work Phone   
Name, age and school (if applicable) of siblings… 
______ 
______________Parent 2 Cell Phone _____________________       
Has anyone in your family previously been enrolled at Celebrating Children Preschool?  If so, who &amp; 
when? 
Has your child attended preschool before?  If so, where and how long? 
**class is only available if I have enough kids to run it. 
If a Non-Member, would you like to receive information about Shepherd of the Valley Lutheran Church 
and our activities?   Yes_______   No_______ 
I hereby agree that, if my child is accepted by the school, I will pay the monthly fee in advance, by the 
15th of the month, and will cooperate with the school in carrying out any requirements set for the 
parents.  I will notify the school of any changes in the information as entered on this record. 
I hereby agree to notify the school two weeks in advance of withdrawal, should such an event occur, 
or pay the difference. 
An immunization record must be on file before the child may attend.   After a trial period, the school 
reserves the right of dismissing a child who does not fit into the school’s program or whose parents do 
not cooperate with the school. 
SIGNED         
SIGNED         
Date    
_____ 
(Mother or legal guardian) 
Date    
____ 
(Father or legal guardian) 
Please attach a check to the completed registration form which includes a 
$50.00 non-refundable registration fee plus ½ month’s tuition of $65.00 for a total of $115.00 the   
3 year old classes 
or 
$50.00 non-refundable registration fee plus ½ month’s tuition of $78.00 for a total of $130.00 for 
the 4 year old classes 
or 
$50.00 non-refundable registration fee plus ½ month’s tuition of $92.50 for a total of $142.50 for 
the High Five class 
Tuition is refundable until July 1, 2019 for all classes 
In the event that my child does not get into the session that has been requested, please… 
____ put my child’s name on the morning waiting list (3/4’s please circle    M &amp; W      
____put my child’s name on the afternoon waiting list (only available to 4/5 class) 
T &amp; Th      
or     
____put my child’s name on both the morning and afternoon waiting lists (only available to 4/5 class) 
____remove my child’s registration  
destroy       
I am willing to donate      
and 
or        
return      
my check.      
(For office use only) 
REGISTRATION INFORMATION 
(circle one) 
to the CCP scholarship fund. 
Date Paid: _____________________________ 
Amount Paid: __________________________ 
 Both) 
Check Number: _________________________</t>
        </is>
      </c>
      <c r="C11" s="16" t="inlineStr">
        <is>
          <t>https://edu.kogiagroup.com/#/inscription</t>
        </is>
      </c>
    </row>
    <row r="12" ht="48" customHeight="1">
      <c r="A12" s="17" t="n">
        <v>10</v>
      </c>
      <c r="B12" s="16" t="inlineStr">
        <is>
          <t>when the parent choose level each level has his conditions and rules and formats .. So I think we have 4 category right Crèche
Pré-maternelle  
1ère année -- so better to change the form into several steps because each category has his different details should fill it  : Niveau demandé *
Crèche
Pré-maternelle
Maternelle 1
Maternelle 2
1ère année
2ème année
3ème année
4ème année
5ème année
6ème année</t>
        </is>
      </c>
      <c r="C12" s="16" t="inlineStr">
        <is>
          <t>https://edu.kogiagroup.com/#/inscription</t>
        </is>
      </c>
    </row>
    <row r="13" ht="15" customHeight="1">
      <c r="A13" s="17" t="n">
        <v>11</v>
      </c>
      <c r="B13" s="16" t="inlineStr">
        <is>
          <t>page design is terrable and size page not fit the browser page</t>
        </is>
      </c>
      <c r="C13" s="16" t="inlineStr">
        <is>
          <t>https://edu.kogiagroup.com/#/login</t>
        </is>
      </c>
    </row>
    <row r="14" ht="48" customHeight="1">
      <c r="A14" s="17" t="n">
        <v>12</v>
      </c>
      <c r="B14" s="16" t="inlineStr">
        <is>
          <t>those details  are not attractive change other things : Pas un ERP scolaire de plus
L'école qu'on a envie d'ouvrir.
Évaluer une classe en 30 secondes, suivre la journée de son enfant en direct, organiser la vie commune — web et mobile, les mêmes données.
Tableau de bord · aujourd'hui
121
Élèves
96%
Présence
8
À décider
par Kogia Group · © 2026 · Tunisie</t>
        </is>
      </c>
      <c r="C14" s="16" t="inlineStr">
        <is>
          <t>https://edu.kogiagroup.com/#/login</t>
        </is>
      </c>
    </row>
    <row r="15" ht="26" customHeight="1">
      <c r="A15" s="17" t="n">
        <v>13</v>
      </c>
      <c r="B15" s="16" t="inlineStr">
        <is>
          <t>password forgeten not found - so apply it and let's support@kogiagroup.com manage the the mecanism of password forgeten</t>
        </is>
      </c>
      <c r="C15" s="16" t="inlineStr">
        <is>
          <t>https://edu.kogiagroup.com/#/login</t>
        </is>
      </c>
    </row>
    <row r="16" ht="59" customHeight="1">
      <c r="A16" s="17" t="n">
        <v>14</v>
      </c>
      <c r="B16" s="16" t="inlineStr">
        <is>
          <t>develop it more and more this platform is managing the school that they are buying our product - beside what you want how to improve it with more features ( do search here to collect more infos) I have something I want you to do it I want corner that have some school details like their emails their domain ports ips some configs so when I want to check the school directly I can login and check what happen there maybe now not all infos exist so just prepare what we have now</t>
        </is>
      </c>
      <c r="C16" s="16" t="inlineStr">
        <is>
          <t>https://edu.kogiagroup.com/#/app - Kogia Group (Plateforme)</t>
        </is>
      </c>
    </row>
    <row r="17" ht="15" customHeight="1">
      <c r="A17" s="17" t="n">
        <v>15</v>
      </c>
      <c r="B17" s="16" t="inlineStr">
        <is>
          <t>in tableau de bord : there's some feature not clickable - check them all</t>
        </is>
      </c>
      <c r="C17" s="16" t="inlineStr">
        <is>
          <t>https://edu.kogiagroup.com/#/app - Kogia Group (Plateforme)</t>
        </is>
      </c>
    </row>
    <row r="18" ht="15" customHeight="1">
      <c r="A18" s="17" t="n">
        <v>16</v>
      </c>
      <c r="B18" s="16" t="inlineStr">
        <is>
          <t>meteo change the design make little small</t>
        </is>
      </c>
      <c r="C18" s="16" t="inlineStr">
        <is>
          <t>in all product elements</t>
        </is>
      </c>
    </row>
    <row r="19" ht="48" customHeight="1">
      <c r="A19" s="17" t="n">
        <v>17</v>
      </c>
      <c r="B19" s="16" t="inlineStr">
        <is>
          <t>I feel that platform direction has same platform Administration here we need understand more the tasks belong to each one - what I see Administration receive requests or create requests or see the dashboard of the evaluations of the students ||| direction the more view content or monitoring or final approve for the requests comes from admisnistration...anyway search more about the relation between the administration and direction.</t>
        </is>
      </c>
      <c r="C19" s="16" t="inlineStr">
        <is>
          <t>https://edu.kogiagroup.com/#/app --- Direction</t>
        </is>
      </c>
    </row>
    <row r="20" ht="81" customHeight="1">
      <c r="A20" s="17" t="n">
        <v>18</v>
      </c>
      <c r="B20" s="16" t="inlineStr">
        <is>
          <t>administration platform is center platform have many entries and many out - what I see now that all registration from students or teachers or anything else is not under ID number - so now rebuild it to be anything is under ID number - for example request from teacher has ID start Teacher_numbers_... registration new student student_number request accidents same I don't mean write id : student_8797 do the abreviation or find the right way how big company do and there's another ID is for human mean with previous id for human should any human has his ID for student sure they passport or ID so let parent should how they register and for adult human same they can choose also .. so we 2 IDs one ID for all things and human has IDs + Identity number \Passport</t>
        </is>
      </c>
      <c r="C20" s="16" t="inlineStr">
        <is>
          <t>https://edu.kogiagroup.com/#/app --- Administration</t>
        </is>
      </c>
    </row>
    <row r="21" ht="26" customHeight="1">
      <c r="A21" s="17" t="n">
        <v>19</v>
      </c>
      <c r="B21" s="16" t="inlineStr">
        <is>
          <t>Coreon Intelligence  ce que vos données disent cette semaine  : it's not in same line there's little degradation check it</t>
        </is>
      </c>
      <c r="C21" s="16" t="inlineStr">
        <is>
          <t>https://edu.kogiagroup.com/#/app --- Administration</t>
        </is>
      </c>
    </row>
    <row r="22" ht="26" customHeight="1">
      <c r="A22" s="17" t="n">
        <v>20</v>
      </c>
      <c r="B22" s="16" t="inlineStr">
        <is>
          <t>how Administration platform has all services in one platform ?! Any school has departments even one person wrok in that dept</t>
        </is>
      </c>
      <c r="C22" s="16" t="inlineStr">
        <is>
          <t>all product elements</t>
        </is>
      </c>
    </row>
    <row r="23" ht="26" customHeight="1">
      <c r="A23" s="17" t="n">
        <v>21</v>
      </c>
      <c r="B23" s="16" t="inlineStr">
        <is>
          <t>not logical that one platform admiin has all depts in one platform so it's time to create real platforms for HR ADMINSTRTION ACCOUNTNT</t>
        </is>
      </c>
      <c r="C23" s="16" t="inlineStr">
        <is>
          <t>all product elements</t>
        </is>
      </c>
    </row>
    <row r="24" ht="37" customHeight="1">
      <c r="A24" s="17" t="n">
        <v>22</v>
      </c>
      <c r="B24" s="16" t="inlineStr">
        <is>
          <t>Do search about the relations between DIRECTION ADMINSTRTION HR ACCOUNTANT SUPERVISOR SECURITY TEACHER PARENT for school and all the levels : Crèche
Pré-maternelle
Maternelle 1
Maternelle 2
1ère année
2ème année
3ème année
4ème année
5ème année
6ème année</t>
        </is>
      </c>
      <c r="C24" s="16" t="inlineStr">
        <is>
          <t>all product elements</t>
        </is>
      </c>
    </row>
    <row r="25" ht="26" customHeight="1">
      <c r="A25" s="17" t="n">
        <v>23</v>
      </c>
      <c r="B25" s="16" t="inlineStr">
        <is>
          <t>I know keep repeating same issue but I want to clear that we want change the current situation of product to real erp system</t>
        </is>
      </c>
      <c r="C25" s="16" t="inlineStr">
        <is>
          <t>all product elements</t>
        </is>
      </c>
    </row>
    <row r="26" ht="26" customHeight="1">
      <c r="A26" s="17" t="n">
        <v>24</v>
      </c>
      <c r="B26" s="16" t="inlineStr">
        <is>
          <t>Bulletins &amp; passage :: how teacher can give notes to all the classroom math english french Mathématiques
/20
Français
/20
Arabe
/20
Éveil scientifique
/20
Anglais</t>
        </is>
      </c>
      <c r="C26" s="16" t="inlineStr">
        <is>
          <t>https://edu.kogiagroup.com/#/app/academic</t>
        </is>
      </c>
    </row>
  </sheetData>
  <autoFilter ref="A2:C2"/>
  <mergeCells count="1">
    <mergeCell ref="A1:C1"/>
  </mergeCells>
  <pageMargins left="0.75" right="0.75" top="1" bottom="1" header="0.5" footer="0.5"/>
</worksheet>
</file>

<file path=xl/worksheets/sheet10.xml><?xml version="1.0" encoding="utf-8"?>
<worksheet xmlns="http://schemas.openxmlformats.org/spreadsheetml/2006/main">
  <sheetPr>
    <tabColor rgb="0050596B"/>
    <outlinePr summaryBelow="1" summaryRight="1"/>
    <pageSetUpPr/>
  </sheetPr>
  <dimension ref="A1:Q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4" customWidth="1" min="5" max="5"/>
    <col width="14" customWidth="1" min="6" max="6"/>
    <col width="17" customWidth="1" min="7" max="7"/>
    <col width="14" customWidth="1" min="8" max="8"/>
    <col width="18" customWidth="1" min="9" max="9"/>
    <col width="14" customWidth="1" min="10" max="10"/>
    <col width="14" customWidth="1" min="11" max="11"/>
    <col width="18" customWidth="1" min="12" max="12"/>
    <col width="14" customWidth="1" min="13" max="13"/>
    <col width="14" customWidth="1" min="14" max="14"/>
    <col width="14" customWidth="1" min="15" max="15"/>
    <col width="14" customWidth="1" min="16" max="16"/>
    <col width="14" customWidth="1" min="17" max="17"/>
  </cols>
  <sheetData>
    <row r="1">
      <c r="A1" s="19" t="inlineStr">
        <is>
          <t>Status</t>
        </is>
      </c>
      <c r="B1" s="19" t="inlineStr">
        <is>
          <t>Severity</t>
        </is>
      </c>
      <c r="C1" s="19" t="inlineStr">
        <is>
          <t>Priority</t>
        </is>
      </c>
      <c r="D1" s="19" t="inlineStr">
        <is>
          <t>ElementType</t>
        </is>
      </c>
      <c r="E1" s="19" t="inlineStr">
        <is>
          <t>TestType</t>
        </is>
      </c>
      <c r="F1" s="19" t="inlineStr">
        <is>
          <t>Role</t>
        </is>
      </c>
      <c r="G1" s="19" t="inlineStr">
        <is>
          <t>Environment</t>
        </is>
      </c>
      <c r="H1" s="19" t="inlineStr">
        <is>
          <t>Device</t>
        </is>
      </c>
      <c r="I1" s="19" t="inlineStr">
        <is>
          <t>DefectStatus</t>
        </is>
      </c>
      <c r="J1" s="19" t="inlineStr">
        <is>
          <t>Repro</t>
        </is>
      </c>
      <c r="K1" s="19" t="inlineStr">
        <is>
          <t>Retest</t>
        </is>
      </c>
      <c r="L1" s="19" t="inlineStr">
        <is>
          <t>ModuleStatus</t>
        </is>
      </c>
      <c r="M1" s="19" t="inlineStr">
        <is>
          <t>YesNo</t>
        </is>
      </c>
      <c r="N1" s="19" t="inlineStr">
        <is>
          <t>Decision</t>
        </is>
      </c>
      <c r="O1" s="19" t="inlineStr">
        <is>
          <t>CRType</t>
        </is>
      </c>
      <c r="P1" s="19" t="inlineStr">
        <is>
          <t>CRStatus</t>
        </is>
      </c>
      <c r="Q1" s="19" t="inlineStr">
        <is>
          <t>Effort</t>
        </is>
      </c>
    </row>
    <row r="2">
      <c r="A2" s="20" t="inlineStr">
        <is>
          <t>NOT RUN</t>
        </is>
      </c>
      <c r="B2" s="20" t="inlineStr">
        <is>
          <t>Critical</t>
        </is>
      </c>
      <c r="C2" s="20" t="inlineStr">
        <is>
          <t>P1 - Immediate</t>
        </is>
      </c>
      <c r="D2" s="20" t="inlineStr">
        <is>
          <t>Page load</t>
        </is>
      </c>
      <c r="E2" s="20" t="inlineStr">
        <is>
          <t>Functional</t>
        </is>
      </c>
      <c r="F2" s="20" t="inlineStr">
        <is>
          <t>owner</t>
        </is>
      </c>
      <c r="G2" s="20" t="inlineStr">
        <is>
          <t>Local dev</t>
        </is>
      </c>
      <c r="H2" s="20" t="inlineStr">
        <is>
          <t>Desktop Chrome</t>
        </is>
      </c>
      <c r="I2" s="20" t="inlineStr">
        <is>
          <t>NEW</t>
        </is>
      </c>
      <c r="J2" s="20" t="inlineStr">
        <is>
          <t>Always</t>
        </is>
      </c>
      <c r="K2" s="20" t="inlineStr">
        <is>
          <t>Not retested</t>
        </is>
      </c>
      <c r="L2" s="20" t="inlineStr">
        <is>
          <t>Not started</t>
        </is>
      </c>
      <c r="M2" s="20" t="inlineStr">
        <is>
          <t>Yes</t>
        </is>
      </c>
      <c r="N2" s="20" t="inlineStr">
        <is>
          <t>GO</t>
        </is>
      </c>
      <c r="O2" s="20" t="inlineStr">
        <is>
          <t>Enhancement</t>
        </is>
      </c>
      <c r="P2" s="20" t="inlineStr">
        <is>
          <t>NEW</t>
        </is>
      </c>
      <c r="Q2" s="20" t="inlineStr">
        <is>
          <t>XS</t>
        </is>
      </c>
    </row>
    <row r="3">
      <c r="A3" s="20" t="inlineStr">
        <is>
          <t>PASS</t>
        </is>
      </c>
      <c r="B3" s="20" t="inlineStr">
        <is>
          <t>Major</t>
        </is>
      </c>
      <c r="C3" s="20" t="inlineStr">
        <is>
          <t>P2 - High</t>
        </is>
      </c>
      <c r="D3" s="20" t="inlineStr">
        <is>
          <t>Button</t>
        </is>
      </c>
      <c r="E3" s="20" t="inlineStr">
        <is>
          <t>UI / Visual</t>
        </is>
      </c>
      <c r="F3" s="20" t="inlineStr">
        <is>
          <t>schooladmin</t>
        </is>
      </c>
      <c r="G3" s="20" t="inlineStr">
        <is>
          <t>Local build</t>
        </is>
      </c>
      <c r="H3" s="20" t="inlineStr">
        <is>
          <t>Desktop Firefox</t>
        </is>
      </c>
      <c r="I3" s="20" t="inlineStr">
        <is>
          <t>OPEN</t>
        </is>
      </c>
      <c r="J3" s="20" t="inlineStr">
        <is>
          <t>Sometimes</t>
        </is>
      </c>
      <c r="K3" s="20" t="inlineStr">
        <is>
          <t>PASS</t>
        </is>
      </c>
      <c r="L3" s="20" t="inlineStr">
        <is>
          <t>In progress</t>
        </is>
      </c>
      <c r="M3" s="20" t="inlineStr">
        <is>
          <t>No</t>
        </is>
      </c>
      <c r="N3" s="20" t="inlineStr">
        <is>
          <t>NO-GO</t>
        </is>
      </c>
      <c r="O3" s="20" t="inlineStr">
        <is>
          <t>New feature</t>
        </is>
      </c>
      <c r="P3" s="20" t="inlineStr">
        <is>
          <t>TRIAGED</t>
        </is>
      </c>
      <c r="Q3" s="20" t="inlineStr">
        <is>
          <t>S</t>
        </is>
      </c>
    </row>
    <row r="4">
      <c r="A4" s="20" t="inlineStr">
        <is>
          <t>FAIL</t>
        </is>
      </c>
      <c r="B4" s="20" t="inlineStr">
        <is>
          <t>Minor</t>
        </is>
      </c>
      <c r="C4" s="20" t="inlineStr">
        <is>
          <t>P3 - Medium</t>
        </is>
      </c>
      <c r="D4" s="20" t="inlineStr">
        <is>
          <t>Link</t>
        </is>
      </c>
      <c r="E4" s="20" t="inlineStr">
        <is>
          <t>Negative</t>
        </is>
      </c>
      <c r="F4" s="20" t="inlineStr">
        <is>
          <t>admin</t>
        </is>
      </c>
      <c r="G4" s="20" t="inlineStr">
        <is>
          <t>Server mode</t>
        </is>
      </c>
      <c r="H4" s="20" t="inlineStr">
        <is>
          <t>Desktop Safari</t>
        </is>
      </c>
      <c r="I4" s="20" t="inlineStr">
        <is>
          <t>IN PROGRESS</t>
        </is>
      </c>
      <c r="J4" s="20" t="inlineStr">
        <is>
          <t>Once only</t>
        </is>
      </c>
      <c r="K4" s="20" t="inlineStr">
        <is>
          <t>FAIL</t>
        </is>
      </c>
      <c r="L4" s="20" t="inlineStr">
        <is>
          <t>Complete</t>
        </is>
      </c>
      <c r="N4" s="20" t="inlineStr">
        <is>
          <t>GO with conditions</t>
        </is>
      </c>
      <c r="O4" s="20" t="inlineStr">
        <is>
          <t>Design</t>
        </is>
      </c>
      <c r="P4" s="20" t="inlineStr">
        <is>
          <t>APPROVED</t>
        </is>
      </c>
      <c r="Q4" s="20" t="inlineStr">
        <is>
          <t>M</t>
        </is>
      </c>
    </row>
    <row r="5">
      <c r="A5" s="20" t="inlineStr">
        <is>
          <t>BLOCKED</t>
        </is>
      </c>
      <c r="B5" s="20" t="inlineStr">
        <is>
          <t>Trivial</t>
        </is>
      </c>
      <c r="C5" s="20" t="inlineStr">
        <is>
          <t>P4 - Low</t>
        </is>
      </c>
      <c r="D5" s="20" t="inlineStr">
        <is>
          <t>Form field</t>
        </is>
      </c>
      <c r="E5" s="20" t="inlineStr">
        <is>
          <t>Access control</t>
        </is>
      </c>
      <c r="F5" s="20" t="inlineStr">
        <is>
          <t>teacher</t>
        </is>
      </c>
      <c r="G5" s="20" t="inlineStr">
        <is>
          <t>GitHub Pages</t>
        </is>
      </c>
      <c r="H5" s="20" t="inlineStr">
        <is>
          <t>Desktop Edge</t>
        </is>
      </c>
      <c r="I5" s="20" t="inlineStr">
        <is>
          <t>FIXED</t>
        </is>
      </c>
      <c r="J5" s="20" t="inlineStr">
        <is>
          <t>Not reproduced</t>
        </is>
      </c>
      <c r="L5" s="20" t="inlineStr">
        <is>
          <t>Blocked</t>
        </is>
      </c>
      <c r="N5" s="20" t="inlineStr">
        <is>
          <t>Pending</t>
        </is>
      </c>
      <c r="O5" s="20" t="inlineStr">
        <is>
          <t>Content</t>
        </is>
      </c>
      <c r="P5" s="20" t="inlineStr">
        <is>
          <t>IN PROGRESS</t>
        </is>
      </c>
      <c r="Q5" s="20" t="inlineStr">
        <is>
          <t>L</t>
        </is>
      </c>
    </row>
    <row r="6">
      <c r="A6" s="20" t="inlineStr">
        <is>
          <t>N-A</t>
        </is>
      </c>
      <c r="D6" s="20" t="inlineStr">
        <is>
          <t>Form submit</t>
        </is>
      </c>
      <c r="E6" s="20" t="inlineStr">
        <is>
          <t>Business rule</t>
        </is>
      </c>
      <c r="F6" s="20" t="inlineStr">
        <is>
          <t>supervisor</t>
        </is>
      </c>
      <c r="G6" s="20" t="inlineStr">
        <is>
          <t>edu.kogiagroup.com</t>
        </is>
      </c>
      <c r="H6" s="20" t="inlineStr">
        <is>
          <t>Mobile Chrome 390px</t>
        </is>
      </c>
      <c r="I6" s="20" t="inlineStr">
        <is>
          <t>READY TO RETEST</t>
        </is>
      </c>
      <c r="L6" s="20" t="inlineStr">
        <is>
          <t>Out of scope</t>
        </is>
      </c>
      <c r="O6" s="20" t="inlineStr">
        <is>
          <t>Epic</t>
        </is>
      </c>
      <c r="P6" s="20" t="inlineStr">
        <is>
          <t>DONE</t>
        </is>
      </c>
      <c r="Q6" s="20" t="inlineStr">
        <is>
          <t>XL</t>
        </is>
      </c>
    </row>
    <row r="7">
      <c r="D7" s="20" t="inlineStr">
        <is>
          <t>Dropdown</t>
        </is>
      </c>
      <c r="E7" s="20" t="inlineStr">
        <is>
          <t>Data integrity</t>
        </is>
      </c>
      <c r="F7" s="20" t="inlineStr">
        <is>
          <t>security</t>
        </is>
      </c>
      <c r="H7" s="20" t="inlineStr">
        <is>
          <t>Mobile Safari iOS</t>
        </is>
      </c>
      <c r="I7" s="20" t="inlineStr">
        <is>
          <t>CLOSED</t>
        </is>
      </c>
      <c r="O7" s="20" t="inlineStr">
        <is>
          <t>Research</t>
        </is>
      </c>
      <c r="P7" s="20" t="inlineStr">
        <is>
          <t>REJECTED</t>
        </is>
      </c>
    </row>
    <row r="8">
      <c r="D8" s="20" t="inlineStr">
        <is>
          <t>Checkbox</t>
        </is>
      </c>
      <c r="E8" s="20" t="inlineStr">
        <is>
          <t>Responsive</t>
        </is>
      </c>
      <c r="F8" s="20" t="inlineStr">
        <is>
          <t>parent</t>
        </is>
      </c>
      <c r="H8" s="20" t="inlineStr">
        <is>
          <t>Tablet</t>
        </is>
      </c>
      <c r="I8" s="20" t="inlineStr">
        <is>
          <t>REOPENED</t>
        </is>
      </c>
      <c r="P8" s="20" t="inlineStr">
        <is>
          <t>DEFERRED</t>
        </is>
      </c>
    </row>
    <row r="9">
      <c r="D9" s="20" t="inlineStr">
        <is>
          <t>Radio</t>
        </is>
      </c>
      <c r="E9" s="20" t="inlineStr">
        <is>
          <t>RTL / Arabic</t>
        </is>
      </c>
      <c r="F9" s="20" t="inlineStr">
        <is>
          <t>not logged in</t>
        </is>
      </c>
      <c r="H9" s="20" t="inlineStr">
        <is>
          <t>Expo mobile app</t>
        </is>
      </c>
      <c r="I9" s="20" t="inlineStr">
        <is>
          <t>WON'T FIX</t>
        </is>
      </c>
    </row>
    <row r="10">
      <c r="D10" s="20" t="inlineStr">
        <is>
          <t>Toggle</t>
        </is>
      </c>
      <c r="E10" s="20" t="inlineStr">
        <is>
          <t>Accessibility</t>
        </is>
      </c>
      <c r="I10" s="20" t="inlineStr">
        <is>
          <t>DUPLICATE</t>
        </is>
      </c>
    </row>
    <row r="11">
      <c r="D11" s="20" t="inlineStr">
        <is>
          <t>Tab</t>
        </is>
      </c>
      <c r="E11" s="20" t="inlineStr">
        <is>
          <t>Performance</t>
        </is>
      </c>
      <c r="I11" s="20" t="inlineStr">
        <is>
          <t>NOT A BUG</t>
        </is>
      </c>
    </row>
    <row r="12">
      <c r="D12" s="20" t="inlineStr">
        <is>
          <t>Modal</t>
        </is>
      </c>
      <c r="E12" s="20" t="inlineStr">
        <is>
          <t>Security</t>
        </is>
      </c>
    </row>
    <row r="13">
      <c r="D13" s="20" t="inlineStr">
        <is>
          <t>Table</t>
        </is>
      </c>
      <c r="E13" s="20" t="inlineStr">
        <is>
          <t>Regression</t>
        </is>
      </c>
    </row>
    <row r="14">
      <c r="D14" s="20" t="inlineStr">
        <is>
          <t>Table sort</t>
        </is>
      </c>
      <c r="E14" s="20" t="inlineStr">
        <is>
          <t>Exploratory</t>
        </is>
      </c>
    </row>
    <row r="15">
      <c r="D15" s="20" t="inlineStr">
        <is>
          <t>Search</t>
        </is>
      </c>
    </row>
    <row r="16">
      <c r="D16" s="20" t="inlineStr">
        <is>
          <t>Filter chip</t>
        </is>
      </c>
    </row>
    <row r="17">
      <c r="D17" s="20" t="inlineStr">
        <is>
          <t>Stat tile</t>
        </is>
      </c>
    </row>
    <row r="18">
      <c r="D18" s="20" t="inlineStr">
        <is>
          <t>Icon</t>
        </is>
      </c>
    </row>
    <row r="19">
      <c r="D19" s="20" t="inlineStr">
        <is>
          <t>Menu</t>
        </is>
      </c>
    </row>
    <row r="20">
      <c r="D20" s="20" t="inlineStr">
        <is>
          <t>Drag &amp; drop</t>
        </is>
      </c>
    </row>
    <row r="21">
      <c r="D21" s="20" t="inlineStr">
        <is>
          <t>File upload</t>
        </is>
      </c>
    </row>
    <row r="22">
      <c r="D22" s="20" t="inlineStr">
        <is>
          <t>Export CSV</t>
        </is>
      </c>
    </row>
    <row r="23">
      <c r="D23" s="20" t="inlineStr">
        <is>
          <t>Print / PDF</t>
        </is>
      </c>
    </row>
    <row r="24">
      <c r="D24" s="20" t="inlineStr">
        <is>
          <t>Keyboard shortcut</t>
        </is>
      </c>
    </row>
    <row r="25">
      <c r="D25" s="20" t="inlineStr">
        <is>
          <t>Notification</t>
        </is>
      </c>
    </row>
    <row r="26">
      <c r="D26" s="20" t="inlineStr">
        <is>
          <t>Toast</t>
        </is>
      </c>
    </row>
    <row r="27">
      <c r="D27" s="20" t="inlineStr">
        <is>
          <t>Navigation</t>
        </is>
      </c>
    </row>
    <row r="28">
      <c r="D28" s="20" t="inlineStr">
        <is>
          <t>Empty state</t>
        </is>
      </c>
    </row>
    <row r="29">
      <c r="D29" s="20" t="inlineStr">
        <is>
          <t>Error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2026-07-22T13:21:15Z</dcterms:created>
  <dcterms:modified xmlns:dcterms="http://purl.org/dc/terms/" xmlns:xsi="http://www.w3.org/2001/XMLSchema-instance" xsi:type="dcterms:W3CDTF">2026-07-22T23:49:14Z</dcterms:modified>
</cp:coreProperties>
</file>